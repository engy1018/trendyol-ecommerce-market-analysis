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983a3fd88388b8f/Desktop/"/>
    </mc:Choice>
  </mc:AlternateContent>
  <xr:revisionPtr revIDLastSave="7" documentId="8_{C17950B5-A12F-4E54-9CC0-06AFEB5BA157}" xr6:coauthVersionLast="47" xr6:coauthVersionMax="47" xr10:uidLastSave="{5101D942-921D-4FB6-AAB6-9F3CC517B1B0}"/>
  <bookViews>
    <workbookView xWindow="-108" yWindow="-108" windowWidth="23256" windowHeight="12456" firstSheet="3" activeTab="6" xr2:uid="{00000000-000D-0000-FFFF-FFFF00000000}"/>
  </bookViews>
  <sheets>
    <sheet name="trendyol_final__most_rated_Auto" sheetId="4" r:id="rId1"/>
    <sheet name="pivot" sheetId="7" r:id="rId2"/>
    <sheet name="dashboard" sheetId="11" r:id="rId3"/>
    <sheet name="matrix" sheetId="15" r:id="rId4"/>
    <sheet name="trendyol_final" sheetId="3" r:id="rId5"/>
    <sheet name="summary statis" sheetId="5" r:id="rId6"/>
    <sheet name="products_table" sheetId="17" r:id="rId7"/>
    <sheet name="brands_table" sheetId="16" r:id="rId8"/>
    <sheet name="trendyol_final__most rated" sheetId="2" r:id="rId9"/>
  </sheets>
  <definedNames>
    <definedName name="ExternalData_1" localSheetId="7" hidden="1">brands_table!$A$1:$B$72</definedName>
    <definedName name="ExternalData_1" localSheetId="8" hidden="1">'trendyol_final__most rated'!$A$1:$J$113</definedName>
    <definedName name="ExternalData_2" localSheetId="6" hidden="1">products_table!$A$1:$I$101</definedName>
    <definedName name="ExternalData_2" localSheetId="4" hidden="1">trendyol_final!$A$1:$G$98</definedName>
    <definedName name="ExternalData_3" localSheetId="0" hidden="1">trendyol_final__most_rated_Auto!$A$1:$J$98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/>
  <c r="J4" i="3"/>
  <c r="J3" i="3"/>
  <c r="H26" i="3"/>
  <c r="H55" i="3"/>
  <c r="H90" i="3"/>
  <c r="H92" i="3"/>
  <c r="H82" i="3"/>
  <c r="H22" i="3"/>
  <c r="H60" i="3"/>
  <c r="H32" i="3"/>
  <c r="H20" i="3"/>
  <c r="H61" i="3"/>
  <c r="H78" i="3"/>
  <c r="H91" i="3"/>
  <c r="H33" i="3"/>
  <c r="H86" i="3"/>
  <c r="H14" i="3"/>
  <c r="H93" i="3"/>
  <c r="H34" i="3"/>
  <c r="H76" i="3"/>
  <c r="H5" i="3"/>
  <c r="H94" i="3"/>
  <c r="H23" i="3"/>
  <c r="H6" i="3"/>
  <c r="H87" i="3"/>
  <c r="H62" i="3"/>
  <c r="H79" i="3"/>
  <c r="H27" i="3"/>
  <c r="H49" i="3"/>
  <c r="H83" i="3"/>
  <c r="H75" i="3"/>
  <c r="H7" i="3"/>
  <c r="H85" i="3"/>
  <c r="H84" i="3"/>
  <c r="H43" i="3"/>
  <c r="H18" i="3"/>
  <c r="H35" i="3"/>
  <c r="H46" i="3"/>
  <c r="H4" i="3"/>
  <c r="H12" i="3"/>
  <c r="H51" i="3"/>
  <c r="H24" i="3"/>
  <c r="H67" i="3"/>
  <c r="H66" i="3"/>
  <c r="H36" i="3"/>
  <c r="H42" i="3"/>
  <c r="H31" i="3"/>
  <c r="H65" i="3"/>
  <c r="H13" i="3"/>
  <c r="H73" i="3"/>
  <c r="H40" i="3"/>
  <c r="H3" i="3"/>
  <c r="H28" i="3"/>
  <c r="H15" i="3"/>
  <c r="H95" i="3"/>
  <c r="H68" i="3"/>
  <c r="H98" i="3"/>
  <c r="H59" i="3"/>
  <c r="H80" i="3"/>
  <c r="H29" i="3"/>
  <c r="H97" i="3"/>
  <c r="H70" i="3"/>
  <c r="H72" i="3"/>
  <c r="H52" i="3"/>
  <c r="H41" i="3"/>
  <c r="H88" i="3"/>
  <c r="H74" i="3"/>
  <c r="H96" i="3"/>
  <c r="H53" i="3"/>
  <c r="H56" i="3"/>
  <c r="H10" i="3"/>
  <c r="H37" i="3"/>
  <c r="H63" i="3"/>
  <c r="H25" i="3"/>
  <c r="H71" i="3"/>
  <c r="H69" i="3"/>
  <c r="H45" i="3"/>
  <c r="H8" i="3"/>
  <c r="H57" i="3"/>
  <c r="H58" i="3"/>
  <c r="H19" i="3"/>
  <c r="H44" i="3"/>
  <c r="H89" i="3"/>
  <c r="H16" i="3"/>
  <c r="H30" i="3"/>
  <c r="H77" i="3"/>
  <c r="H17" i="3"/>
  <c r="H64" i="3"/>
  <c r="H48" i="3"/>
  <c r="H47" i="3"/>
  <c r="H81" i="3"/>
  <c r="H39" i="3"/>
  <c r="H9" i="3"/>
  <c r="H38" i="3"/>
  <c r="H50" i="3"/>
  <c r="H54" i="3"/>
  <c r="H11" i="3"/>
  <c r="H21" i="3"/>
  <c r="H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B66143-54C1-41AF-8930-CAD23B4BABD0}" keepAlive="1" name="Query - brands_table" description="Connection to the 'brands_table' query in the workbook." type="5" refreshedVersion="8" background="1" saveData="1">
    <dbPr connection="Provider=Microsoft.Mashup.OleDb.1;Data Source=$Workbook$;Location=brands_table;Extended Properties=&quot;&quot;" command="SELECT * FROM [brands_table]"/>
  </connection>
  <connection id="2" xr16:uid="{56128EEB-EE8E-4262-B0F3-E2C03148687F}" keepAlive="1" name="Query - products_table" description="Connection to the 'products_table' query in the workbook." type="5" refreshedVersion="8" background="1" saveData="1">
    <dbPr connection="Provider=Microsoft.Mashup.OleDb.1;Data Source=$Workbook$;Location=products_table;Extended Properties=&quot;&quot;" command="SELECT * FROM [products_table]"/>
  </connection>
  <connection id="3" xr16:uid="{7B9C3CE4-B2AF-4CD2-BB80-94515144F5F9}" keepAlive="1" name="Query - trendyol_final__most_rated_AutoRecovered___2" description="Connection to the 'trendyol_final__most_rated_AutoRecovered___2' query in the workbook." type="5" refreshedVersion="8" background="1" saveData="1">
    <dbPr connection="Provider=Microsoft.Mashup.OleDb.1;Data Source=$Workbook$;Location=trendyol_final__most_rated_AutoRecovered___2;Extended Properties=&quot;&quot;" command="SELECT * FROM [trendyol_final__most_rated_AutoRecovered___2]"/>
  </connection>
</connections>
</file>

<file path=xl/sharedStrings.xml><?xml version="1.0" encoding="utf-8"?>
<sst xmlns="http://schemas.openxmlformats.org/spreadsheetml/2006/main" count="1755" uniqueCount="636">
  <si>
    <t>brand_id</t>
  </si>
  <si>
    <t>brand_name</t>
  </si>
  <si>
    <t>product_details</t>
  </si>
  <si>
    <t>product_orange_price</t>
  </si>
  <si>
    <t>price_green</t>
  </si>
  <si>
    <t>price_red</t>
  </si>
  <si>
    <t>pnk</t>
  </si>
  <si>
    <t>rating</t>
  </si>
  <si>
    <t>reviews_count</t>
  </si>
  <si>
    <t>offer</t>
  </si>
  <si>
    <t>product_ID</t>
  </si>
  <si>
    <t>Brand_Name</t>
  </si>
  <si>
    <t>Product_Details</t>
  </si>
  <si>
    <t>41</t>
  </si>
  <si>
    <t>Alerma</t>
  </si>
  <si>
    <t>Sulfatefree Purifying Shampoo For Fine And Oily Hair 250Ml</t>
  </si>
  <si>
    <t>4.2</t>
  </si>
  <si>
    <t/>
  </si>
  <si>
    <t>65</t>
  </si>
  <si>
    <t>Moisturizing Sulfatefree Shampoo For Dry And Lifeless Hair 250Ml</t>
  </si>
  <si>
    <t>19</t>
  </si>
  <si>
    <t>Bioblas</t>
  </si>
  <si>
    <t>Antihair Loss + Antidandruff Shampoo – Zinc, Menthol, Creamy 360Ml</t>
  </si>
  <si>
    <t>4.5</t>
  </si>
  <si>
    <t>23</t>
  </si>
  <si>
    <t>Botanic Oils Garlic Shampoo 360Ml Antihair Loss, Strengthening</t>
  </si>
  <si>
    <t>4.6</t>
  </si>
  <si>
    <t>33</t>
  </si>
  <si>
    <t>Procyanidin &amp; Biotin Antistress Shampoo For Hair Loss 360Ml  Antihair Loss Shampoo</t>
  </si>
  <si>
    <t>45</t>
  </si>
  <si>
    <t>Shampoo 360Ml With Garlic (6 Packs)</t>
  </si>
  <si>
    <t>4.7</t>
  </si>
  <si>
    <t>50 TL Coupon</t>
  </si>
  <si>
    <t>94</t>
  </si>
  <si>
    <t>Shampoo 360Ml Zinc+Menthol 2In1 Antidandruff Creamy Shampoo</t>
  </si>
  <si>
    <t>4.4</t>
  </si>
  <si>
    <t>73</t>
  </si>
  <si>
    <t>Blendax</t>
  </si>
  <si>
    <t>Nettle Extract 4X500Ml Antihair Loss Strengthening And Volumizing Shampoo Set</t>
  </si>
  <si>
    <t>101</t>
  </si>
  <si>
    <t>Nourishing Aloe Vera Extract 4X500Ml Intensive Moisturizing Shampoo Set</t>
  </si>
  <si>
    <t>88</t>
  </si>
  <si>
    <t>Cosmed</t>
  </si>
  <si>
    <t>Sulfatefree Nourishing Daily Care Biotin Shampoo  Daily Protecting Shampoo 400Ml</t>
  </si>
  <si>
    <t>4.3</t>
  </si>
  <si>
    <t>Discount Code</t>
  </si>
  <si>
    <t>15</t>
  </si>
  <si>
    <t>Columbia</t>
  </si>
  <si>
    <t>Tea Tree Purifying And Balancing Shampoo 400Ml</t>
  </si>
  <si>
    <t>Buy More, Pay Less</t>
  </si>
  <si>
    <t>13</t>
  </si>
  <si>
    <t>Dp</t>
  </si>
  <si>
    <t>Shampoo Mixed Set 500Ml X 6 Pieces</t>
  </si>
  <si>
    <t>31</t>
  </si>
  <si>
    <t>Daily Perfection Pine Turpentine Shampoo 800Ml</t>
  </si>
  <si>
    <t>58</t>
  </si>
  <si>
    <t>Shampoo Set 500Ml X 4 Pieces</t>
  </si>
  <si>
    <t>106</t>
  </si>
  <si>
    <t>Dermoskin</t>
  </si>
  <si>
    <t>Keratolytic Shampoo Body Wash | Antidandruff Shampoo | Hair And Body Shampoo | Hair Care | 200Ml</t>
  </si>
  <si>
    <t>4.1</t>
  </si>
  <si>
    <t>46</t>
  </si>
  <si>
    <t>Duru</t>
  </si>
  <si>
    <t>Garlic &amp; Biotin &amp; Collagen Antihair Loss Shampoo 3X500Ml</t>
  </si>
  <si>
    <t>54</t>
  </si>
  <si>
    <t>Olive Oil &amp; Collagen Shampoo For Dry And Normal Hair 3X500Ml</t>
  </si>
  <si>
    <t>74</t>
  </si>
  <si>
    <t>Enzym Cosmetics</t>
  </si>
  <si>
    <t>Hair Care Shampoo For Dry, Damaged And Chemically Treated Hair 400Ml (Saltfree)</t>
  </si>
  <si>
    <t>6</t>
  </si>
  <si>
    <t>Elseve</t>
  </si>
  <si>
    <t>Hydra [Hyaluronic] Pure Antigreasy Purifying Shampoo With Salicylic Acid 300Ml</t>
  </si>
  <si>
    <t>20</t>
  </si>
  <si>
    <t>Complete Resistance Antihair Loss Shampoo 300Ml 3Pack</t>
  </si>
  <si>
    <t>47 TL Coupon</t>
  </si>
  <si>
    <t>22</t>
  </si>
  <si>
    <t>Complete Resistance Antihair Loss Shampoo 300Ml</t>
  </si>
  <si>
    <t>52</t>
  </si>
  <si>
    <t>Complete Resistance Antihair Loss 2In1 Shampoo 360Ml</t>
  </si>
  <si>
    <t>69</t>
  </si>
  <si>
    <t>Complete Repair 5 Care Shampoo 300Ml 3Pack</t>
  </si>
  <si>
    <t>1</t>
  </si>
  <si>
    <t>Embeauty</t>
  </si>
  <si>
    <t>9 Actives Antihair Loss Fast Hair Growth &amp; Repair Volumizing Nourishing Shampoo 400Ml</t>
  </si>
  <si>
    <t>Buy 3, Pay for 2</t>
  </si>
  <si>
    <t>117</t>
  </si>
  <si>
    <t>Fercares</t>
  </si>
  <si>
    <t>Intensive Antidandruff Shampoo 400Ml</t>
  </si>
  <si>
    <t>4.8</t>
  </si>
  <si>
    <t>53</t>
  </si>
  <si>
    <t>Gelincik</t>
  </si>
  <si>
    <t>Coconut Shampoo 5 Kg</t>
  </si>
  <si>
    <t>30</t>
  </si>
  <si>
    <t>Gliss</t>
  </si>
  <si>
    <t>Full Hair Wonder Caffeine &amp; Peptide Antihair Loss Shampoo 400Ml For Hair Prone To Loss X 3 Pieces</t>
  </si>
  <si>
    <t>64</t>
  </si>
  <si>
    <t>Helenie</t>
  </si>
  <si>
    <t>Antihair Loss Care Shampoo With Black Garlic Extract, Collagen And Keratin Enriched 350Ml</t>
  </si>
  <si>
    <t>4.9</t>
  </si>
  <si>
    <t>78</t>
  </si>
  <si>
    <t>Head &amp; Shoulders</t>
  </si>
  <si>
    <t>Head And Shoulders Women'S Antihair Loss Shampoo X 2</t>
  </si>
  <si>
    <t>115</t>
  </si>
  <si>
    <t>Extra Volume Antidandruff Shampoo 350Ml</t>
  </si>
  <si>
    <t>112</t>
  </si>
  <si>
    <t>Heiluna</t>
  </si>
  <si>
    <t>Antidandruff Shampoo With Salicylic Acid And Selenite, 400Ml</t>
  </si>
  <si>
    <t>82</t>
  </si>
  <si>
    <t>Hunca Care</t>
  </si>
  <si>
    <t>Keratin Complex Shampoo, Nourishing And Repairing, For All Hair Types, 675Ml</t>
  </si>
  <si>
    <t>60</t>
  </si>
  <si>
    <t>Inklinatur Lifestyle &amp; Cosmetics</t>
  </si>
  <si>
    <t>Bi Derm'S Antidandruff And Antiitch Shampoo  Sensitive Scalp Care</t>
  </si>
  <si>
    <t>40</t>
  </si>
  <si>
    <t>Jaja</t>
  </si>
  <si>
    <t>Brown Hair Shampoo 7.0 | 300Ml &amp; For Gray Hair</t>
  </si>
  <si>
    <t>109</t>
  </si>
  <si>
    <t>Kundal</t>
  </si>
  <si>
    <t>Antibreakage Nourishing Care Shampoo Kundal Honey &amp; Macadamia Nature Shampoo 500Ml Baby Powder</t>
  </si>
  <si>
    <t>48</t>
  </si>
  <si>
    <t>Lady Beauty</t>
  </si>
  <si>
    <t>Platinum Professional Shampoo</t>
  </si>
  <si>
    <t>79</t>
  </si>
  <si>
    <t>Lapien'S</t>
  </si>
  <si>
    <t>Intensive Antidandruff Shampoo, Antidandruff, Antiitching And Antioily Skin 500Ml</t>
  </si>
  <si>
    <t>84</t>
  </si>
  <si>
    <t>Antihair Loss Shampoo, Hair Strengthening, Nourishing, Vitamin E, Caffeine, Arginine 500Ml</t>
  </si>
  <si>
    <t>30 TL Coupon</t>
  </si>
  <si>
    <t>2</t>
  </si>
  <si>
    <t>Laventin</t>
  </si>
  <si>
    <t>Antihair Loss Shampoo With 11 Active Ingredients For Hair Falling Out And Slow Growing Hair 400Ml</t>
  </si>
  <si>
    <t>4</t>
  </si>
  <si>
    <t>Buy 5, Pay for 4</t>
  </si>
  <si>
    <t>85</t>
  </si>
  <si>
    <t>Life Butter</t>
  </si>
  <si>
    <t>2Pack Shampoo For Hair Loss And Slow Hair Growth, And Antidandruff Eczema Shampoo</t>
  </si>
  <si>
    <t>96</t>
  </si>
  <si>
    <t>Luhr Care</t>
  </si>
  <si>
    <t>Antihair Loss Shampoo, Nourishing And Repairing Shampoo For Fast Hair Growth</t>
  </si>
  <si>
    <t>7</t>
  </si>
  <si>
    <t>Mamaaura</t>
  </si>
  <si>
    <t>Antidandruff And Antiitching Shampoo  Purify Me Shampoo 250Ml</t>
  </si>
  <si>
    <t>10</t>
  </si>
  <si>
    <t>Hydrate Me Moisturizing Care Shampoo 250Ml</t>
  </si>
  <si>
    <t>89</t>
  </si>
  <si>
    <t>Mecitefendi</t>
  </si>
  <si>
    <t>Garlic Shampoo (400Ml) Antihair Loss Shampoo Hair Repair Shampoo</t>
  </si>
  <si>
    <t>108</t>
  </si>
  <si>
    <t>Garlic Shampoo 400Ml</t>
  </si>
  <si>
    <t>62</t>
  </si>
  <si>
    <t>Meliboz</t>
  </si>
  <si>
    <t>Rosemary Shampoo 400Ml | Antihair Loss | Contains Biotin, Keratin And Panthenol</t>
  </si>
  <si>
    <t>26</t>
  </si>
  <si>
    <t>Multinatural</t>
  </si>
  <si>
    <t>Antidandruff And Seborrheic Hair Loss Eczema Shampoo With Keratin, Protein, Peptide, And Caffeine</t>
  </si>
  <si>
    <t>2. Product 1 TL</t>
  </si>
  <si>
    <t>80</t>
  </si>
  <si>
    <t>Scalp, Skin &amp; Body Scalp Antidandruff And Eczema Cream 100Ml</t>
  </si>
  <si>
    <t>77</t>
  </si>
  <si>
    <t>Phglowe</t>
  </si>
  <si>
    <t>Antihair Loss Shampoo 390Ml</t>
  </si>
  <si>
    <t>32</t>
  </si>
  <si>
    <t>Pxel</t>
  </si>
  <si>
    <t>Hair Repair Shampoo 400Ml</t>
  </si>
  <si>
    <t>40 TL Coupon</t>
  </si>
  <si>
    <t>42</t>
  </si>
  <si>
    <t>Prozinc</t>
  </si>
  <si>
    <t>Women Moisturizing And Volumizing Care Shampoo For Damaged, Processed Hair 3X300Ml</t>
  </si>
  <si>
    <t>18</t>
  </si>
  <si>
    <t>Redist</t>
  </si>
  <si>
    <t>Antihair Loss Shampoo With Garlic For Hair Falling Out And Slow Growing Hair 1000Ml</t>
  </si>
  <si>
    <t>107</t>
  </si>
  <si>
    <t>Garlicinfused Antihair Loss Shampoo 500Ml  For Hair Loss And Slow Hair Growth</t>
  </si>
  <si>
    <t>34</t>
  </si>
  <si>
    <t>Restorex</t>
  </si>
  <si>
    <t>Shampoo</t>
  </si>
  <si>
    <t>57</t>
  </si>
  <si>
    <t>Shampoo With Healthy Hair Growth Effect 500Ml Antihair Loss X2 Pieces</t>
  </si>
  <si>
    <t>111</t>
  </si>
  <si>
    <t>Revox</t>
  </si>
  <si>
    <t>Qenzym Q10 Shampoo 360Ml</t>
  </si>
  <si>
    <t>14</t>
  </si>
  <si>
    <t>Softto Plus</t>
  </si>
  <si>
    <t>Black Hair Naturallooking Hair Darkening Instant Gray Hair Concealer Shampoo 350Ml</t>
  </si>
  <si>
    <t>15 TL Coupon</t>
  </si>
  <si>
    <t>24</t>
  </si>
  <si>
    <t>Brown Hair Natural Look Dark Brown Hair Shampoo 350Ml</t>
  </si>
  <si>
    <t>81</t>
  </si>
  <si>
    <t>2Pack Brown Hair Shampoo: The Way To Get Rid Of Gray Hair 350Ml + 350Ml</t>
  </si>
  <si>
    <t>103</t>
  </si>
  <si>
    <t>Is A Hair Coloring Shampoo For Black Hair That Helps Restore Gray And White Hair To Their Original Color.</t>
  </si>
  <si>
    <t>3</t>
  </si>
  <si>
    <t>Swissoderm</t>
  </si>
  <si>
    <t>Antihair Loss Natural Shampoo 300Ml | With Biotin, Herbal Extracts, For Normaldry Hair, Supports Hair Growth</t>
  </si>
  <si>
    <t>The Ceel</t>
  </si>
  <si>
    <t>Rosemary Hair Care Shampoo | Keratin, Biotin, Hydrolyzed Collagen Extract 250Ml</t>
  </si>
  <si>
    <t>Coupon Opportunity</t>
  </si>
  <si>
    <t>16</t>
  </si>
  <si>
    <t>True Bee</t>
  </si>
  <si>
    <t>Daily Dream Series | 2Pack Rosemary Shampoo With Hair Root Strengthening Effect 400Ml</t>
  </si>
  <si>
    <t>21</t>
  </si>
  <si>
    <t>Daily Dream Series | Rosemary Shampoo With Hair Root Strengthening Effect 400Ml</t>
  </si>
  <si>
    <t>75</t>
  </si>
  <si>
    <t>Wlab Cosmetics</t>
  </si>
  <si>
    <t>Antihair Loss Shampoo 400Ml</t>
  </si>
  <si>
    <t>Buy 4, Pay for 2</t>
  </si>
  <si>
    <t>71</t>
  </si>
  <si>
    <t>Zigavus</t>
  </si>
  <si>
    <t>Pomegranate Shampoo For Fast Hair Growth, Repairing Care For Damaged Hair 450Ml</t>
  </si>
  <si>
    <t>56</t>
  </si>
  <si>
    <t>Mineaderm</t>
  </si>
  <si>
    <t>Antioily Dandruff Shampoo For Oily Hair</t>
  </si>
  <si>
    <t>113</t>
  </si>
  <si>
    <t>Botanic Oils Nettle Organic Olive Oil Shampoo 360Ml  Volumizing, Antihair Loss</t>
  </si>
  <si>
    <t>104</t>
  </si>
  <si>
    <t>Dermokil</t>
  </si>
  <si>
    <t>Shampoo  Healthy Hair Growth Effect (Collagen &amp; Black Garlic) 1 L</t>
  </si>
  <si>
    <t>25</t>
  </si>
  <si>
    <t>Antihair Loss Shampoo  Fortify Me Shampoo 250Ml</t>
  </si>
  <si>
    <t>11</t>
  </si>
  <si>
    <t>Antihair Loss Natural Shampoo 300Ml | With Biotin, Herbal Extracts, For Oily Hair, Supports Hair Growth</t>
  </si>
  <si>
    <t>43</t>
  </si>
  <si>
    <t>Axwell Premium</t>
  </si>
  <si>
    <t>Professional Silver Shampoo (Antiorange Purple Shampoo) 330Ml</t>
  </si>
  <si>
    <t>86</t>
  </si>
  <si>
    <t>Bioterra</t>
  </si>
  <si>
    <t>Organic Ph Balance Shampoo 400Ml  Antihair Loss And Thinning Shampoo</t>
  </si>
  <si>
    <t>68</t>
  </si>
  <si>
    <t>Cecemed</t>
  </si>
  <si>
    <t>Antihair Loss Shampoo 300Ml</t>
  </si>
  <si>
    <t>44</t>
  </si>
  <si>
    <t>Ceremony</t>
  </si>
  <si>
    <t>Garlic Shampoo 400Ml | Antihair Loss Strengthening Argan Keratin</t>
  </si>
  <si>
    <t>61</t>
  </si>
  <si>
    <t>Clear</t>
  </si>
  <si>
    <t>Women Antidandruff Shampoo Herbal Synthesis 350Ml X3</t>
  </si>
  <si>
    <t>100</t>
  </si>
  <si>
    <t>Diamond Hair</t>
  </si>
  <si>
    <t>Repair Volume Shampoo Suitable For Sensitive, Fine, Dandruffprone, Hair Loss, Slowgrowing, Brittle And Tuberous Hair.</t>
  </si>
  <si>
    <t>38</t>
  </si>
  <si>
    <t>Dermoten</t>
  </si>
  <si>
    <t>Biotin Antihair Loss Shampoo 400Ml</t>
  </si>
  <si>
    <t>27</t>
  </si>
  <si>
    <t>Antidandruff Shampoo For Sensitive Scalp And Dandruffprone Hair 400Ml (Saltfree)</t>
  </si>
  <si>
    <t>66</t>
  </si>
  <si>
    <t>Hair Care Shampoo For Weak And Falling Hair 400Ml (Procapil) (Saltfree)</t>
  </si>
  <si>
    <t>90</t>
  </si>
  <si>
    <t>Growth Booster Antihair Loss Shampoo 200Ml</t>
  </si>
  <si>
    <t>105</t>
  </si>
  <si>
    <t>Eshlife</t>
  </si>
  <si>
    <t>Nourishing And Repairing Herbal Shampoo 400Ml – Complete Care – Plumping Effect</t>
  </si>
  <si>
    <t>5</t>
  </si>
  <si>
    <t>9</t>
  </si>
  <si>
    <t>Hc Care</t>
  </si>
  <si>
    <t>Shampoo For Normal And Dry Hair  340Ml.</t>
  </si>
  <si>
    <t>12</t>
  </si>
  <si>
    <t>Volumizing Shampoo  340Ml.</t>
  </si>
  <si>
    <t>17</t>
  </si>
  <si>
    <t>Shampoo For Oily Hair  340Ml.</t>
  </si>
  <si>
    <t>39</t>
  </si>
  <si>
    <t>300Ml Shampoo. Deep Cleansing.</t>
  </si>
  <si>
    <t>47</t>
  </si>
  <si>
    <t>Antihair Loss And Antidandruff Shampoo For Women, 330Ml X 2 Packs</t>
  </si>
  <si>
    <t>59</t>
  </si>
  <si>
    <t>Cleansing &amp; Shining Antidandruff Shampoo 800Ml</t>
  </si>
  <si>
    <t>87</t>
  </si>
  <si>
    <t>Deep Cleansing Antioily 300Ml</t>
  </si>
  <si>
    <t>93</t>
  </si>
  <si>
    <t>Isana</t>
  </si>
  <si>
    <t>Water Peppermint And Aventurine Antidandruff Shampoo 300Ml</t>
  </si>
  <si>
    <t>37</t>
  </si>
  <si>
    <t>Insane Naturale</t>
  </si>
  <si>
    <t>Purifying And Balancing Pure Balance Shampoo For Oily Hair 500Ml</t>
  </si>
  <si>
    <t>102</t>
  </si>
  <si>
    <t>Antidandruff Shampoo With Selenium And Salicylic Acid 250Ml</t>
  </si>
  <si>
    <t>110</t>
  </si>
  <si>
    <t>Karseell</t>
  </si>
  <si>
    <t>Argan Oil Shampoo Deep Repair Maca Extract Moisturizing Shampoo 500Ml Karsel</t>
  </si>
  <si>
    <t>28</t>
  </si>
  <si>
    <t>La Rachel</t>
  </si>
  <si>
    <t>Extra Volumizing Intensive Argan And Keratin Complex Shampoo, Saltfree Special Formula, 250Ml</t>
  </si>
  <si>
    <t>114</t>
  </si>
  <si>
    <t>Lacinia</t>
  </si>
  <si>
    <t>5 In 1 Shampoo 400Ml</t>
  </si>
  <si>
    <t>116</t>
  </si>
  <si>
    <t>Sulfatefree Sulfatefree Daily Nourishing Moisturizing Shampoo For Dry And Normal Hair 500Ml</t>
  </si>
  <si>
    <t>95</t>
  </si>
  <si>
    <t>Livray</t>
  </si>
  <si>
    <t>Vitalizing Anti Dandruff Shampoo  Antiflax &amp; Antidandruff Hair Care Shampoo (250Ml)</t>
  </si>
  <si>
    <t>72</t>
  </si>
  <si>
    <t>Maiza</t>
  </si>
  <si>
    <t>Rosemary Mint Strengthening Shampoo 355Ml</t>
  </si>
  <si>
    <t>55</t>
  </si>
  <si>
    <t>Morfose</t>
  </si>
  <si>
    <t>Fast White And Gray Concealer Shampoo 420Ml Natural Black</t>
  </si>
  <si>
    <t>70</t>
  </si>
  <si>
    <t>Muelhens</t>
  </si>
  <si>
    <t>D1 Intensive Antihair Loss Shampoo 200Ml  Anti Hair Loss Shampoo</t>
  </si>
  <si>
    <t>92</t>
  </si>
  <si>
    <t>D1 Anti Hair Loss Shampoo Intensive Antihair Loss Shampoo 500Ml</t>
  </si>
  <si>
    <t>76</t>
  </si>
  <si>
    <t>Naturagen</t>
  </si>
  <si>
    <t>Rosemary Intensive Care Shampoo Antihair Loss And Promotes Faster Hair Growth</t>
  </si>
  <si>
    <t>91</t>
  </si>
  <si>
    <t>Paxe</t>
  </si>
  <si>
    <t>Black Hair Shampoo, White Hair Concealer Shampoo, Black Color, 400Ml</t>
  </si>
  <si>
    <t>63</t>
  </si>
  <si>
    <t>Pierre Cardin</t>
  </si>
  <si>
    <t>Herbal Shampoo For All Hair Types 750Ml (For All Hair Types)</t>
  </si>
  <si>
    <t>8</t>
  </si>
  <si>
    <t>Antihair Loss Shampoo 1000Ml (2 Packs)</t>
  </si>
  <si>
    <t>Santeplus</t>
  </si>
  <si>
    <t>Saltfree Intensive Antidandruff Shampoo For Oily Hair 250Ml (E.Gzama, S.Psoriasis)</t>
  </si>
  <si>
    <t>29</t>
  </si>
  <si>
    <t>Intensive Antihair Loss Biotin &amp; Keratin 4V Forte Shampoo 250Ml</t>
  </si>
  <si>
    <t>36</t>
  </si>
  <si>
    <t>Antidandruff And Antihair Loss Shampoo With Protein, Ginseng And Black Garlic 400Ml</t>
  </si>
  <si>
    <t>35</t>
  </si>
  <si>
    <t>Sistéme 11</t>
  </si>
  <si>
    <t>Intensive Repair Shampoo For Damaged Hair 250Ml</t>
  </si>
  <si>
    <t>67</t>
  </si>
  <si>
    <t>Visbuen</t>
  </si>
  <si>
    <t>Zinc Biotin 16 Natural Actives Antidandruff Care Shampoo</t>
  </si>
  <si>
    <t>83</t>
  </si>
  <si>
    <t>Oleic Acid 14 Natural Actives Repairing Care Shampoo For Damaged And Treated Hair Oa</t>
  </si>
  <si>
    <t>price</t>
  </si>
  <si>
    <t>price_100 ml</t>
  </si>
  <si>
    <t>product_size</t>
  </si>
  <si>
    <t>Vitalizing Anti Dandruff Shampoo  AntiFlax &amp; AntiDandruff Hair Care Shampoo (250ml)</t>
  </si>
  <si>
    <t>COSMED</t>
  </si>
  <si>
    <t>SantePlus</t>
  </si>
  <si>
    <t>SaltFree Intensive AntiDandruff Shampoo for Oily Hair 250ml (E.GZAMA, S.PSORIASIS)</t>
  </si>
  <si>
    <t>Organic pH Balance Shampoo 400ml  AntiHair Loss and Thinning Shampoo</t>
  </si>
  <si>
    <t>AntiDandruff Shampoo with Selenium and Salicylic Acid 250ml</t>
  </si>
  <si>
    <t>AntiHair Loss Natural Shampoo 300ml | With Biotin, Herbal Extracts, For NormalDry Hair, Supports Hair Growth</t>
  </si>
  <si>
    <t>AntiHair Loss Natural Shampoo 300ml | With Biotin, Herbal Extracts, For Oily Hair, Supports Hair Growth</t>
  </si>
  <si>
    <t>Intensive AntiHair Loss Biotin &amp; Keratin 4v Forte Shampoo 250ml</t>
  </si>
  <si>
    <t>Argan Oil Shampoo Deep Repair Maca Extract Moisturizing Shampoo 500ml Karsel</t>
  </si>
  <si>
    <t>Intensive Repair Shampoo for Damaged Hair 250ml</t>
  </si>
  <si>
    <t>PXEL</t>
  </si>
  <si>
    <t>Hair Repair Shampoo 400ml</t>
  </si>
  <si>
    <t>Rosemary Hair Care Shampoo | Keratin, Biotin, Hydrolyzed Collagen Extract 250ml</t>
  </si>
  <si>
    <t>Brown Hair Shampoo 7.0 | 300ml &amp; For Gray Hair</t>
  </si>
  <si>
    <t>MAMAAURA</t>
  </si>
  <si>
    <t>AntiHair Loss Shampoo  Fortify Me Shampoo 250ml</t>
  </si>
  <si>
    <t>SulfateFree Purifying Shampoo for Fine and Oily Hair 250ml</t>
  </si>
  <si>
    <t>Moisturizing SulfateFree Shampoo for Dry and Lifeless Hair 250ml</t>
  </si>
  <si>
    <t>Growth Booster AntiHair Loss Shampoo 200ml</t>
  </si>
  <si>
    <t>Keratolytic Shampoo Body Wash | AntiDandruff Shampoo | Hair and Body Shampoo | Hair Care | 200ml</t>
  </si>
  <si>
    <t>D1 Intensive AntiHair Loss Shampoo 200ml  ANTI HAIR LOSS SHAMPOO</t>
  </si>
  <si>
    <t>Hydrate Me Moisturizing Care Shampoo 250ml</t>
  </si>
  <si>
    <t>DP</t>
  </si>
  <si>
    <t>2Pack Brown Hair Shampoo: The Way to Get Rid of Gray Hair 350ml + 350ml</t>
  </si>
  <si>
    <t>AntiDandruff and AntiItching Shampoo  Purify Me Shampoo 250ml</t>
  </si>
  <si>
    <t>HELENIE</t>
  </si>
  <si>
    <t>AntiHair Loss Care Shampoo with Black Garlic Extract, Collagen and Keratin Enriched 350ml</t>
  </si>
  <si>
    <t>Extra Volumizing Intensive Argan and Keratin Complex Shampoo, SaltFree Special Formula, 250ml</t>
  </si>
  <si>
    <t>AntiDandruff Shampoo with Salicylic Acid and Selenite, 400ml</t>
  </si>
  <si>
    <t>Daily Dream Series | 2Pack Rosemary Shampoo with Hair Root Strengthening Effect 400ml</t>
  </si>
  <si>
    <t>AntiHair Loss Shampoo with 11 Active Ingredients for Hair Falling Out and Slow Growing Hair 400ml</t>
  </si>
  <si>
    <t>5 in 1 Shampoo 400ml</t>
  </si>
  <si>
    <t>Black Hair NaturalLooking Hair Darkening Instant Gray Hair Concealer Shampoo 350ml</t>
  </si>
  <si>
    <t>Qenzym Q10 Shampoo 360ml</t>
  </si>
  <si>
    <t>Brown Hair Natural Look Dark Brown Hair Shampoo 350ml</t>
  </si>
  <si>
    <t>HC Care</t>
  </si>
  <si>
    <t>Volumizing Shampoo  340ml.</t>
  </si>
  <si>
    <t>AntiDandruff and AntiHair Loss Shampoo with Protein, Ginseng and Black Garlic 400ml</t>
  </si>
  <si>
    <t>AntiBreakage Nourishing Care Shampoo KUNDAL Honey &amp; Macadamia Nature Shampoo 500ml Baby Powder</t>
  </si>
  <si>
    <t>Shampoo for Oily Hair  340ml.</t>
  </si>
  <si>
    <t>Shampoo for Normal and Dry Hair  340ml.</t>
  </si>
  <si>
    <t>WLab Cosmetics</t>
  </si>
  <si>
    <t>AntiHair Loss Shampoo 400ml</t>
  </si>
  <si>
    <t>Tea Tree Purifying and Balancing Shampoo 400ml</t>
  </si>
  <si>
    <t>Extra Volume AntiDandruff Shampoo 350ml</t>
  </si>
  <si>
    <t>Lapien's</t>
  </si>
  <si>
    <t>Intensive AntiDandruff Shampoo, AntiDandruff, AntiItching and AntiOily Skin 500ml</t>
  </si>
  <si>
    <t>AntiHair Loss Shampoo, Hair Strengthening, Nourishing, Vitamin E, Caffeine, Arginine 500ml</t>
  </si>
  <si>
    <t>Purifying and Balancing PURE BALANCE Shampoo for Oily Hair 500ml</t>
  </si>
  <si>
    <t>Black Hair Shampoo, White Hair Concealer Shampoo, Black Color, 400ml</t>
  </si>
  <si>
    <t>9 Actives AntiHair Loss Fast Hair Growth &amp; Repair Volumizing Nourishing Shampoo 400ml</t>
  </si>
  <si>
    <t>EshLife</t>
  </si>
  <si>
    <t>Nourishing and Repairing Herbal Shampoo 400ml – Complete Care – Plumping Effect</t>
  </si>
  <si>
    <t>D1 Anti Hair Loss Shampoo Intensive AntiHair Loss Shampoo 500ml</t>
  </si>
  <si>
    <t>Biotin AntiHair Loss Shampoo 400ml</t>
  </si>
  <si>
    <t>Rosemary Shampoo 400ml | AntiHair Loss | Contains Biotin, Keratin and Panthenol</t>
  </si>
  <si>
    <t>Garlic Shampoo (400ml) AntiHair Loss Shampoo Hair Repair Shampoo</t>
  </si>
  <si>
    <t>Complete Resistance AntiHair Loss 2in1 Shampoo 360ml</t>
  </si>
  <si>
    <t>ENZYM COSMETICS</t>
  </si>
  <si>
    <t>Hair Care Shampoo for Weak and Falling Hair 400ml (PROCAPIL) (saltfree)</t>
  </si>
  <si>
    <t>SulfateFree SulfateFree Daily Nourishing Moisturizing Shampoo for Dry and Normal Hair 500ml</t>
  </si>
  <si>
    <t>Garlic Shampoo 400ml</t>
  </si>
  <si>
    <t>ISANA</t>
  </si>
  <si>
    <t>Water Peppermint and Aventurine AntiDandruff Shampoo 300ml</t>
  </si>
  <si>
    <t>Hydra [Hyaluronic] Pure AntiGreasy Purifying Shampoo with Salicylic Acid 300ml</t>
  </si>
  <si>
    <t>Deep Cleansing AntiOily 300ml</t>
  </si>
  <si>
    <t>300ml Shampoo. Deep Cleansing.</t>
  </si>
  <si>
    <t>AntiDandruff Shampoo for Sensitive Scalp and DandruffProne Hair 400ml (saltfree)</t>
  </si>
  <si>
    <t>Garlic Shampoo 400ml | AntiHair Loss Strengthening Argan Keratin</t>
  </si>
  <si>
    <t>Complete Resistance AntiHair Loss Shampoo 300ml</t>
  </si>
  <si>
    <t>Shampoo 360ml Zinc+menthol 2in1 AntiDandruff Creamy Shampoo</t>
  </si>
  <si>
    <t>Daily Dream Series | Rosemary Shampoo with Hair Root Strengthening Effect 400ml</t>
  </si>
  <si>
    <t>AntiHair Loss + AntiDandruff Shampoo – Zinc, Menthol, Creamy 360ml</t>
  </si>
  <si>
    <t>Botanic Oils Nettle Organic Olive Oil Shampoo 360ml  Volumizing, AntiHair Loss</t>
  </si>
  <si>
    <t>Procyanidin &amp; Biotin AntiStress Shampoo for Hair Loss 360ml  AntiHair Loss Shampoo</t>
  </si>
  <si>
    <t>Botanic Oils Garlic Shampoo 360ml AntiHair Loss, Strengthening</t>
  </si>
  <si>
    <t>Hair Care Shampoo for Dry, Damaged and Chemically Treated Hair 400ml (saltfree)</t>
  </si>
  <si>
    <t>GarlicInfused AntiHair Loss Shampoo 500ml  For Hair Loss and Slow Hair Growth</t>
  </si>
  <si>
    <t>AntiHair Loss Shampoo with Garlic for Hair Falling Out and Slow Growing Hair 1000ml</t>
  </si>
  <si>
    <t>AntiHair Loss Shampoo, Nourishing and Repairing Shampoo for Fast Hair Growth</t>
  </si>
  <si>
    <t>mineaderm</t>
  </si>
  <si>
    <t>AntiOily Dandruff Shampoo for Oily Hair</t>
  </si>
  <si>
    <t>is a hair coloring shampoo for black hair that helps restore gray and white hair to their original color.</t>
  </si>
  <si>
    <t>DIAMOND HAIR</t>
  </si>
  <si>
    <t>Repair Volume Shampoo .</t>
  </si>
  <si>
    <t>Herbal Shampoo For All Hair Types 750ml (For All Hair Types)</t>
  </si>
  <si>
    <t>Zinc Biotin 16 Natural Actives AntiDandruff Care Shampoo</t>
  </si>
  <si>
    <t>Rosemary Intensive Care Shampoo AntiHair Loss and Promotes Faster Hair Growth</t>
  </si>
  <si>
    <t>PHGLOWE</t>
  </si>
  <si>
    <t>AntiHair Loss Shampoo 390ml</t>
  </si>
  <si>
    <t>Keratin Complex Shampoo, Nourishing and Repairing, For All Hair Types, 675ml</t>
  </si>
  <si>
    <t>Oleic Acid 14 Natural Actives Repairing Care Shampoo for Damaged and Treated Hair OA</t>
  </si>
  <si>
    <t>AXWELL PREMIUM</t>
  </si>
  <si>
    <t>Professional Silver Shampoo (AntiOrange Purple Shampoo) 330ml</t>
  </si>
  <si>
    <t>2Pack Shampoo for Hair Loss and Slow Hair Growth, and AntiDandruff Eczema Shampoo</t>
  </si>
  <si>
    <t>Cleansing &amp; Shining AntiDandruff Shampoo 800ml</t>
  </si>
  <si>
    <t>MAİZA</t>
  </si>
  <si>
    <t>Rosemary Mint Strengthening Shampoo 355ml</t>
  </si>
  <si>
    <t>Pomegranate Shampoo for Fast Hair Growth, Repairing Care for Damaged Hair 450ml</t>
  </si>
  <si>
    <t>Shampoo  Keratin &amp; Argan Repairing Shampoo 900 ml – Anti-Breakage Strengthening</t>
  </si>
  <si>
    <t>Fast White and Gray Concealer Shampoo 420ml Natural Black</t>
  </si>
  <si>
    <t>Daily Perfection Pine Turpentine Shampoo 800ml</t>
  </si>
  <si>
    <t>INKLINATUR LIFESTYLE &amp; COSMETICS</t>
  </si>
  <si>
    <t>Bi Derm's AntiDandruff and AntiItch Shampoo  Sensitive Scalp Care</t>
  </si>
  <si>
    <t>Women Moisturizing and Volumizing Care Shampoo for Damaged, Processed Hair 300ml</t>
  </si>
  <si>
    <t>SulfateFree Nourishing Daily Care Biotin Shampoo  DAILY PROTECTING SHAMPOO C29ml</t>
  </si>
  <si>
    <t>Nourishing Aloe Vera Extract 500ml Intensive Moisturizing Shampoo Set</t>
  </si>
  <si>
    <t xml:space="preserve">Women AntiDandruff Shampoo Herbal Synthesis 350ml </t>
  </si>
  <si>
    <t>Moisture Bomb Anti-Hair Loss Shampoo for Hair Prone to Fallout 400 ml</t>
  </si>
  <si>
    <t>Full Hair Wonder Shampoo 400 ml</t>
  </si>
  <si>
    <t>Speed ​​Strong Anti-Hair Loss Shampoo 500 ml - With Ivy Extract, Healthy Growth, Anti-Hair Loss</t>
  </si>
  <si>
    <t>Speed ​​&amp; Strong Anti-Hair Loss Shampoo 1000 ml – Powerful Growth &amp; Repair</t>
  </si>
  <si>
    <t>Column1</t>
  </si>
  <si>
    <t>Column2</t>
  </si>
  <si>
    <t xml:space="preserve">mean </t>
  </si>
  <si>
    <t>mean</t>
  </si>
  <si>
    <t xml:space="preserve">median </t>
  </si>
  <si>
    <t>median</t>
  </si>
  <si>
    <t>std</t>
  </si>
  <si>
    <t>Row Labels</t>
  </si>
  <si>
    <t>Grand Total</t>
  </si>
  <si>
    <t>Average of price</t>
  </si>
  <si>
    <t>Average of rating</t>
  </si>
  <si>
    <t>Average of price_100 ml</t>
  </si>
  <si>
    <t>core pricevs riview =</t>
  </si>
  <si>
    <t>brand_key</t>
  </si>
  <si>
    <t>alpecin</t>
  </si>
  <si>
    <t>ave touch</t>
  </si>
  <si>
    <t>aveonix</t>
  </si>
  <si>
    <t>balera</t>
  </si>
  <si>
    <t>beaver</t>
  </si>
  <si>
    <t>bioblas</t>
  </si>
  <si>
    <t>biomemedical</t>
  </si>
  <si>
    <t>bioxcin</t>
  </si>
  <si>
    <t>blendax</t>
  </si>
  <si>
    <t>bone sante</t>
  </si>
  <si>
    <t>clear</t>
  </si>
  <si>
    <t>columbia</t>
  </si>
  <si>
    <t>crabtree evelyn</t>
  </si>
  <si>
    <t>derma cc laboratories</t>
  </si>
  <si>
    <t>dermalute</t>
  </si>
  <si>
    <t>dermalyva cosmetic</t>
  </si>
  <si>
    <t>dermobella</t>
  </si>
  <si>
    <t>dermoten</t>
  </si>
  <si>
    <t>doa cosmetics</t>
  </si>
  <si>
    <t>dp</t>
  </si>
  <si>
    <t>dp daily perfection</t>
  </si>
  <si>
    <t>ducray</t>
  </si>
  <si>
    <t>elseve</t>
  </si>
  <si>
    <t>em amanos beauty</t>
  </si>
  <si>
    <t>eyüp sabri tuncer</t>
  </si>
  <si>
    <t>farmasi</t>
  </si>
  <si>
    <t>first lima professional</t>
  </si>
  <si>
    <t>g beauty</t>
  </si>
  <si>
    <t>gelincik</t>
  </si>
  <si>
    <t>gliss</t>
  </si>
  <si>
    <t>hairextrem</t>
  </si>
  <si>
    <t>head &amp; shoulders</t>
  </si>
  <si>
    <t>hobby</t>
  </si>
  <si>
    <t>homm life</t>
  </si>
  <si>
    <t>hypernatura</t>
  </si>
  <si>
    <t>insight</t>
  </si>
  <si>
    <t>kerassu</t>
  </si>
  <si>
    <t>kerastase</t>
  </si>
  <si>
    <t>keune</t>
  </si>
  <si>
    <t>kundal</t>
  </si>
  <si>
    <t>lab verde di natura</t>
  </si>
  <si>
    <t>ladues beauty</t>
  </si>
  <si>
    <t>linola</t>
  </si>
  <si>
    <t>luhr care</t>
  </si>
  <si>
    <t>luss</t>
  </si>
  <si>
    <t>mecitefendi</t>
  </si>
  <si>
    <t>milkshake</t>
  </si>
  <si>
    <t>moonshine</t>
  </si>
  <si>
    <t>morilys</t>
  </si>
  <si>
    <t>nashi argan</t>
  </si>
  <si>
    <t>natucare</t>
  </si>
  <si>
    <t>naturalive</t>
  </si>
  <si>
    <t>organicum</t>
  </si>
  <si>
    <t>oriflame</t>
  </si>
  <si>
    <t>ovie</t>
  </si>
  <si>
    <t>papilion</t>
  </si>
  <si>
    <t>phyto</t>
  </si>
  <si>
    <t>pierre cardin</t>
  </si>
  <si>
    <t>pro boos professional</t>
  </si>
  <si>
    <t>pure expert</t>
  </si>
  <si>
    <t>rectiwa</t>
  </si>
  <si>
    <t>reflection of health</t>
  </si>
  <si>
    <t>regrow®</t>
  </si>
  <si>
    <t>restorex</t>
  </si>
  <si>
    <t>seed natural herbs</t>
  </si>
  <si>
    <t>selsun blue</t>
  </si>
  <si>
    <t>simplyo</t>
  </si>
  <si>
    <t>sistéme 11</t>
  </si>
  <si>
    <t>thalia</t>
  </si>
  <si>
    <t>zento</t>
  </si>
  <si>
    <t>zigavus</t>
  </si>
  <si>
    <t>product_price</t>
  </si>
  <si>
    <t>product_details - Copy</t>
  </si>
  <si>
    <t>offer_flag</t>
  </si>
  <si>
    <t>hair_category</t>
  </si>
  <si>
    <t>Caffeine C1 Anti-Hair Loss Shampoo + Doubleeffect Caffeine Anti-Hair Loss &amp; Dandruff Shampoo 250ml</t>
  </si>
  <si>
    <t>normal</t>
  </si>
  <si>
    <t>Hair Loss</t>
  </si>
  <si>
    <t>Root Care Hair Care Shampoo 500 ml - Fast Growth &amp; Anti-Hair Loss Effect</t>
  </si>
  <si>
    <t>Nutri Repair SLS/SLES Free Repairing and Nourishing Shampoo 350 ml</t>
  </si>
  <si>
    <t>Repair</t>
  </si>
  <si>
    <t>Anti-Hair Loss Shampoo with Garlic Extract 1000ml</t>
  </si>
  <si>
    <t>Brazilian Keratin Shampoo 350 ml</t>
  </si>
  <si>
    <t>Bioblas Botanic Oils Garlic Extract Shampoo 360 ml</t>
  </si>
  <si>
    <t>Anti-Hair Loss and Oily Hair Shampoo 360 ml x 6 packs</t>
  </si>
  <si>
    <t>Anti-Dandruff Shampoo 2-in-1 Zinc and Caffeine 900 ml</t>
  </si>
  <si>
    <t>Anti-Dandruff</t>
  </si>
  <si>
    <t>Procyanidin Shampoo Anti Stress 360 ml</t>
  </si>
  <si>
    <t>General</t>
  </si>
  <si>
    <t>Bioblas Forte Shampoo 360ml</t>
  </si>
  <si>
    <t>Biotin + Caffeine enriched Anti-Hair Loss, Repairing Care Shampoo for Slow-Growing and Damaged Hair</t>
  </si>
  <si>
    <t>Garlic Shampoo x 3 packs 300 ml + Forte Serum 50 ml 1 x</t>
  </si>
  <si>
    <t>Cleansing Care Jasmine Extract Shampoo 360 ml</t>
  </si>
  <si>
    <t>Collagen Repair Shampoo 300ml</t>
  </si>
  <si>
    <t>Herbal Synthesis Shampoo 350 ml</t>
  </si>
  <si>
    <t>Argan &amp; Keratin Easy Detangling Shampoo 400 ml</t>
  </si>
  <si>
    <t>Horsetail Herbal Extract Anti-Hair Loss, Hair Growth and Thickening Shampoo 400 ml</t>
  </si>
  <si>
    <t>Crabtree &amp; Evelyn Cleanse + Clarify Shampoo 443 ml 15 fl oz - Purifying</t>
  </si>
  <si>
    <t>C/gel Shampoo - Hair Root Repairing Care Shampoo 500 ml</t>
  </si>
  <si>
    <t>Hair Protection Shampoo pH 5.5 (ALL HAIR TYPES)</t>
  </si>
  <si>
    <t>ANTI-HAIR LOSS SHAMPOO - pH 5.5, Contains 15 Plant Extracts, Ozone, Caffeine, Keratin, Biotin - 250ml</t>
  </si>
  <si>
    <t>Black Garlic Shampoo 700 ml</t>
  </si>
  <si>
    <t>Garlic, Nettle &amp; Olive Oil Shampoo 700 ml</t>
  </si>
  <si>
    <t>Herbal Care Shampoo 400 ml</t>
  </si>
  <si>
    <t>SBR PRO Anti-Dandruff Shampoo</t>
  </si>
  <si>
    <t>Daily Perfection Menthol Shampoo 500 ml x 2 packs</t>
  </si>
  <si>
    <t>Daily Perfection Shampoo with Black Cumin Seed Oil 500 ml x 2 packs</t>
  </si>
  <si>
    <t>Menthol Shampoo 800 ml x3 Packs</t>
  </si>
  <si>
    <t>Menthol Shampoo 800 ml x 5 packs</t>
  </si>
  <si>
    <t>Shampoo Pine Turpentine 500 ml x 12 packs</t>
  </si>
  <si>
    <t>Menthol Shampoo 800 ml x 2 packs</t>
  </si>
  <si>
    <t>Extra Doux Daily Shampoo 400ml</t>
  </si>
  <si>
    <t>Sampling 360ml Complete Resistance Against Hair Resistance (Arginine)</t>
  </si>
  <si>
    <t>London Fragrance - Women's Shampoo - Contains Natural Plant Extracts, Keratin and Collagen - Prevents</t>
  </si>
  <si>
    <t>Düvenci Wholesale Argan Oil Shampoo Set,x3 Packs</t>
  </si>
  <si>
    <t>Farması Botanics Herbal Mix Shampoo Bigbrand1108194</t>
  </si>
  <si>
    <t>Salt-Free Anti-Dandruff Milk Protein &amp; Coconut Moisturizing Shampoo for Dry Hair 1000 ml</t>
  </si>
  <si>
    <t>Dry Hair</t>
  </si>
  <si>
    <t>G-beauty Garlic &amp; Black Garlic Shampoo (WHITE-BLACK GARLIC SHAMPOO) Shampoo Hair Care</t>
  </si>
  <si>
    <t>Coconut Shampoo 5000 ml</t>
  </si>
  <si>
    <t>Full Hair Wonder Anti-Hair Loss Shampoo 400 ml x 2 packs</t>
  </si>
  <si>
    <t>Full Hair Wonder Anti-Hair Loss Shampoo 400 ml x 2 packss</t>
  </si>
  <si>
    <t>Bio-Tech Restore Strengthening Shampoo - with Stem Cell Complex and Rose Water, 360 ml x 2 packss</t>
  </si>
  <si>
    <t>Full Hair Wonder Anti-Hair Loss Shampoo 400 ml x 4 Packs</t>
  </si>
  <si>
    <t>Supreme Length Protective Shampoo - with Biotin Complex and Peony Flower Extract, 400 ml x3 Packs</t>
  </si>
  <si>
    <t>Full Hair Wonder Anti-Hair Loss Shampoo 400 ml x 5 Pack</t>
  </si>
  <si>
    <t>Bio Tech Restore Shampoo 360 ml</t>
  </si>
  <si>
    <t>Sulfate-Free Biotin Anti-Hair Loss Professional Hair Care Shampoo 200ml</t>
  </si>
  <si>
    <t>Shoulders Sensitive Scalp Aloe Vera Shampoo 330 ml</t>
  </si>
  <si>
    <t>Menthol Freshness Anti-Dandruff Shampoo 800ml  x3 Packs</t>
  </si>
  <si>
    <t>Anti-Hair Loss Caffeine Shampoo 330 ml x 3 Packs</t>
  </si>
  <si>
    <t>Anti-Dandruff Shampoo Menthol Freshness 800 ml</t>
  </si>
  <si>
    <t>Menthol Freshness Anti-Dandruff Shampoo 800ml x3 Packs</t>
  </si>
  <si>
    <t>Menthol Freshness Shampoo 2-in-1 250 ml</t>
  </si>
  <si>
    <t>Anti-Hair Loss Caffeine Shampoo 330 ml x3 Packs</t>
  </si>
  <si>
    <t>Anti-Dandruff Nourishing Shampoo for Normal Hair 600 ml</t>
  </si>
  <si>
    <t>Lemon Scented Shampoo 600ml</t>
  </si>
  <si>
    <t>Garlic Extract Herbal Shampoo 600 ml | Strengthening Care</t>
  </si>
  <si>
    <t>Zinc &amp; Tea Tree Shampoo 400 ml</t>
  </si>
  <si>
    <t>Anti-Hair Loss Volumizing Shampoo with 6 Active Ingredients to Promote Fast Hair Growth</t>
  </si>
  <si>
    <t>Rejuvenating Shampoo 400 ml</t>
  </si>
  <si>
    <t>Collagen Sulfate-Free Paraben-Free Keratin Hair Care Shampoo 500 ml Special Formula Against Hair Loss</t>
  </si>
  <si>
    <t>Gloss Absolu Bain Hydra-Glaze Refillable Pack 500 ml</t>
  </si>
  <si>
    <t>Satin Oil Revitalizing Hair Care Shampoo 300 ml Trendmu Luxury S35</t>
  </si>
  <si>
    <t>Anti-Breakage Nourishing Care Shampoo KUNDAL Honey &amp; Macadamia Nature Shampoo 500ml Cherry Blossom</t>
  </si>
  <si>
    <t>Scalpus Remedy Anti-Dandruff and Sebum Balancing Shampoo x 2 packs</t>
  </si>
  <si>
    <t>PURPLE SHAMPOO 500 ml</t>
  </si>
  <si>
    <t>Shampoo for Dry and Sensitive Scalp 200 ml</t>
  </si>
  <si>
    <t>Strengthening and Nourishing Shampoo for Damaged and Chemically Treated Hair (400ml)</t>
  </si>
  <si>
    <t>Collagen Shampoo - Anti-Hair Loss 50003 - 275ml</t>
  </si>
  <si>
    <t>Garlic Shampoo 400 ml Herbal Shampoo Against Hair Loss and Dandruff, x  3 packs</t>
  </si>
  <si>
    <t>Moisture Plus Shampoo 300 ml</t>
  </si>
  <si>
    <t>Argan Shampoo 500ml</t>
  </si>
  <si>
    <t>Hair Shampoo</t>
  </si>
  <si>
    <t>All Hair Care Shampoo 500ml</t>
  </si>
  <si>
    <t>Premium Strengthening Rosemary Shampoo 400ml</t>
  </si>
  <si>
    <t>Shampoo for All Hair Types 500 ml</t>
  </si>
  <si>
    <t>Intensive Hair Loss Care and Repair Shampoo 350 ml</t>
  </si>
  <si>
    <t>Duologi Anti-Hair Loss Shampoo</t>
  </si>
  <si>
    <t>Purple Shampoo 250 ml – Silver Shampoo Anti-Blonde Hair Shampoo</t>
  </si>
  <si>
    <t>Moisturizing Hair Shampoo 250 ml – Moisturizing Shampoo for Dry Hair</t>
  </si>
  <si>
    <t>Ylang Ylang and Collagen Effect Scalp Balancing Shampoo 400 ml</t>
  </si>
  <si>
    <t>Novathrix Fortifying Energizing Shampoo 200 ml</t>
  </si>
  <si>
    <t>Shampoo 400 ml - Sport Shampoo</t>
  </si>
  <si>
    <t>Silver (Purple) Shampoo 500 ml</t>
  </si>
  <si>
    <t>Horsetail &amp; Reishi Hair Care Shampoo 500 ml</t>
  </si>
  <si>
    <t>Shampoo for Oily Hair 300 ml</t>
  </si>
  <si>
    <t>Anti-SD Shampoo 300 ml 8680853010290 8680853010290</t>
  </si>
  <si>
    <t>Nonsive Shampoo Type 1 Anti-Dandruff Care Shampoo/Sulfate-Free Shampoo with Essential Oils</t>
  </si>
  <si>
    <t>Regrow Hair Shampoo is a 3-in-1 anti-hair loss shampoo.</t>
  </si>
  <si>
    <t>Healthy Hair Growth Shampoo - For Oily Hair 500 ml - x 2 packs</t>
  </si>
  <si>
    <t>500ml Collagen &amp; Biotin Plumping Shampoo (x 2 packss) + Treatment Shampoo with 7 Nourishing Oils (x 2 packss)</t>
  </si>
  <si>
    <t>7 Nourishing Oil Care Shampoo 500 ml Special Edition</t>
  </si>
  <si>
    <t>Argan &amp; Keratin Shampoo 400 ml 8681137004004</t>
  </si>
  <si>
    <t>Garlic and Keratin Shampoo 400 ml 8681137004011</t>
  </si>
  <si>
    <t>Moisturizing With Aloe Shampoo, Anti-Dandruff Shampoo 207ml</t>
  </si>
  <si>
    <t>Vegan Solution Against Hair Loss | Biotin Shampoo For Hair Loss Green Breeze 500ml, Imported from Korea</t>
  </si>
  <si>
    <t>Anti-Dandruff Shampoo 250 ml</t>
  </si>
  <si>
    <t>Garlic Extract (Intensive Care) Shampoo 300 ml</t>
  </si>
  <si>
    <t>Hair Care Moisturizer Shampoo 500 ml</t>
  </si>
  <si>
    <t>Pro Lab Shampoo 300 ml - With Garlic, Caffeine, Biotin, and Ginseng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</si>
</sst>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TRY]\ * #,##0.0_);_([$TRY]\ * \(#,##0.0\);_([$TRY]\ * &quot;-&quot;?_);_(@_)"/>
    <numFmt numFmtId="165" formatCode="_([$TRY]\ * #,##0_);_([$TRY]\ * \(#,##0\);_([$TRY]\ * &quot;-&quot;?_);_(@_)"/>
    <numFmt numFmtId="166" formatCode="[$TRY]\ #,##0"/>
    <numFmt numFmtId="167" formatCode="0.0"/>
  </numFmts>
  <fonts count="4" x14ac:knownFonts="1">
    <font>
      <sz val="11"/>
      <color theme="1"/>
      <name val="Calibri"/>
      <family val="2"/>
      <scheme val="minor"/>
    </font>
    <font>
      <sz val="10"/>
      <color rgb="FF333333"/>
      <name val="Segoe UI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[$TRY]\ * #,##0.0_);_([$TRY]\ * \(#,##0.0\);_([$TRY]\ * &quot;-&quot;?_);_(@_)"/>
    </dxf>
    <dxf>
      <numFmt numFmtId="2" formatCode="0.00"/>
    </dxf>
    <dxf>
      <numFmt numFmtId="0" formatCode="General"/>
    </dxf>
    <dxf>
      <numFmt numFmtId="0" formatCode="General"/>
    </dxf>
    <dxf>
      <numFmt numFmtId="165" formatCode="_([$TRY]\ * #,##0_);_([$TRY]\ * \(#,##0\);_([$TRY]\ * &quot;-&quot;?_);_(@_)"/>
    </dxf>
    <dxf>
      <numFmt numFmtId="167" formatCode="0.0"/>
    </dxf>
    <dxf>
      <numFmt numFmtId="167" formatCode="0.0"/>
    </dxf>
    <dxf>
      <numFmt numFmtId="167" formatCode="0.0"/>
    </dxf>
    <dxf>
      <numFmt numFmtId="166" formatCode="[$TRY]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[trendyol.xlsx]pivot!PivotTable2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price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284536307961505"/>
          <c:y val="0.21657188684747739"/>
          <c:w val="0.71130271216097984"/>
          <c:h val="0.405636482939632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pivot!$A$4:$A$68</c:f>
              <c:strCache>
                <c:ptCount val="64"/>
                <c:pt idx="0">
                  <c:v>Gliss</c:v>
                </c:pt>
                <c:pt idx="1">
                  <c:v>Pierre Cardin</c:v>
                </c:pt>
                <c:pt idx="2">
                  <c:v>Blendax</c:v>
                </c:pt>
                <c:pt idx="3">
                  <c:v>Duru</c:v>
                </c:pt>
                <c:pt idx="4">
                  <c:v>Bioblas</c:v>
                </c:pt>
                <c:pt idx="5">
                  <c:v>Dermokil</c:v>
                </c:pt>
                <c:pt idx="6">
                  <c:v>DP</c:v>
                </c:pt>
                <c:pt idx="7">
                  <c:v>Restorex</c:v>
                </c:pt>
                <c:pt idx="8">
                  <c:v>ISANA</c:v>
                </c:pt>
                <c:pt idx="9">
                  <c:v>Redist</c:v>
                </c:pt>
                <c:pt idx="10">
                  <c:v>ENZYM COSMETICS</c:v>
                </c:pt>
                <c:pt idx="11">
                  <c:v>Ceremony</c:v>
                </c:pt>
                <c:pt idx="12">
                  <c:v>MAİZA</c:v>
                </c:pt>
                <c:pt idx="13">
                  <c:v>Elseve</c:v>
                </c:pt>
                <c:pt idx="14">
                  <c:v>Head &amp; Shoulders</c:v>
                </c:pt>
                <c:pt idx="15">
                  <c:v>Clear</c:v>
                </c:pt>
                <c:pt idx="16">
                  <c:v>Mecitefendi</c:v>
                </c:pt>
                <c:pt idx="17">
                  <c:v>Lady Beauty</c:v>
                </c:pt>
                <c:pt idx="18">
                  <c:v>AXWELL PREMIUM</c:v>
                </c:pt>
                <c:pt idx="19">
                  <c:v>Dermoskin</c:v>
                </c:pt>
                <c:pt idx="20">
                  <c:v>Morfose</c:v>
                </c:pt>
                <c:pt idx="21">
                  <c:v>Meliboz</c:v>
                </c:pt>
                <c:pt idx="22">
                  <c:v>PHGLOWE</c:v>
                </c:pt>
                <c:pt idx="23">
                  <c:v>Dermoten</c:v>
                </c:pt>
                <c:pt idx="24">
                  <c:v>La Rachel</c:v>
                </c:pt>
                <c:pt idx="25">
                  <c:v>True Bee</c:v>
                </c:pt>
                <c:pt idx="26">
                  <c:v>EshLife</c:v>
                </c:pt>
                <c:pt idx="27">
                  <c:v>Embeauty</c:v>
                </c:pt>
                <c:pt idx="28">
                  <c:v>Paxe</c:v>
                </c:pt>
                <c:pt idx="29">
                  <c:v>HC Care</c:v>
                </c:pt>
                <c:pt idx="30">
                  <c:v>Muelhens</c:v>
                </c:pt>
                <c:pt idx="31">
                  <c:v>mineaderm</c:v>
                </c:pt>
                <c:pt idx="32">
                  <c:v>MAMAAURA</c:v>
                </c:pt>
                <c:pt idx="33">
                  <c:v>Revox</c:v>
                </c:pt>
                <c:pt idx="34">
                  <c:v>Columbia</c:v>
                </c:pt>
                <c:pt idx="35">
                  <c:v>Alerma</c:v>
                </c:pt>
                <c:pt idx="36">
                  <c:v>WLab Cosmetics</c:v>
                </c:pt>
                <c:pt idx="37">
                  <c:v>Hunca Care</c:v>
                </c:pt>
                <c:pt idx="38">
                  <c:v>The Ceel</c:v>
                </c:pt>
                <c:pt idx="39">
                  <c:v>Sistéme 11</c:v>
                </c:pt>
                <c:pt idx="40">
                  <c:v>Lapien's</c:v>
                </c:pt>
                <c:pt idx="41">
                  <c:v>Softto Plus</c:v>
                </c:pt>
                <c:pt idx="42">
                  <c:v>Lacinia</c:v>
                </c:pt>
                <c:pt idx="43">
                  <c:v>Prozinc</c:v>
                </c:pt>
                <c:pt idx="44">
                  <c:v>Laventin</c:v>
                </c:pt>
                <c:pt idx="45">
                  <c:v>Insane Naturale</c:v>
                </c:pt>
                <c:pt idx="46">
                  <c:v>SantePlus</c:v>
                </c:pt>
                <c:pt idx="47">
                  <c:v>Visbuen</c:v>
                </c:pt>
                <c:pt idx="48">
                  <c:v>HELENIE</c:v>
                </c:pt>
                <c:pt idx="49">
                  <c:v>Jaja</c:v>
                </c:pt>
                <c:pt idx="50">
                  <c:v>Zigavus</c:v>
                </c:pt>
                <c:pt idx="51">
                  <c:v>Luhr Care</c:v>
                </c:pt>
                <c:pt idx="52">
                  <c:v>Heiluna</c:v>
                </c:pt>
                <c:pt idx="53">
                  <c:v>Kundal</c:v>
                </c:pt>
                <c:pt idx="54">
                  <c:v>Naturagen</c:v>
                </c:pt>
                <c:pt idx="55">
                  <c:v>Life Butter</c:v>
                </c:pt>
                <c:pt idx="56">
                  <c:v>Swissoderm</c:v>
                </c:pt>
                <c:pt idx="57">
                  <c:v>DIAMOND HAIR</c:v>
                </c:pt>
                <c:pt idx="58">
                  <c:v>INKLINATUR LIFESTYLE &amp; COSMETICS</c:v>
                </c:pt>
                <c:pt idx="59">
                  <c:v>PXEL</c:v>
                </c:pt>
                <c:pt idx="60">
                  <c:v>Livray</c:v>
                </c:pt>
                <c:pt idx="61">
                  <c:v>Bioterra</c:v>
                </c:pt>
                <c:pt idx="62">
                  <c:v>Karseell</c:v>
                </c:pt>
                <c:pt idx="63">
                  <c:v>COSMED</c:v>
                </c:pt>
              </c:strCache>
            </c:strRef>
          </c:cat>
          <c:val>
            <c:numRef>
              <c:f>pivot!$B$4:$B$68</c:f>
              <c:numCache>
                <c:formatCode>[$TRY]\ #,##0</c:formatCode>
                <c:ptCount val="64"/>
                <c:pt idx="0">
                  <c:v>120.17</c:v>
                </c:pt>
                <c:pt idx="1">
                  <c:v>145</c:v>
                </c:pt>
                <c:pt idx="2">
                  <c:v>149</c:v>
                </c:pt>
                <c:pt idx="3">
                  <c:v>159.55000000000001</c:v>
                </c:pt>
                <c:pt idx="4">
                  <c:v>161.45999999999998</c:v>
                </c:pt>
                <c:pt idx="5">
                  <c:v>181.94</c:v>
                </c:pt>
                <c:pt idx="6">
                  <c:v>184.9</c:v>
                </c:pt>
                <c:pt idx="7">
                  <c:v>192.18666666666664</c:v>
                </c:pt>
                <c:pt idx="8">
                  <c:v>197.9</c:v>
                </c:pt>
                <c:pt idx="9">
                  <c:v>200.17000000000002</c:v>
                </c:pt>
                <c:pt idx="10">
                  <c:v>217.06666666666663</c:v>
                </c:pt>
                <c:pt idx="11">
                  <c:v>223.92</c:v>
                </c:pt>
                <c:pt idx="12">
                  <c:v>236.55</c:v>
                </c:pt>
                <c:pt idx="13">
                  <c:v>238.64250000000001</c:v>
                </c:pt>
                <c:pt idx="14">
                  <c:v>268.375</c:v>
                </c:pt>
                <c:pt idx="15">
                  <c:v>274</c:v>
                </c:pt>
                <c:pt idx="16">
                  <c:v>296.60000000000002</c:v>
                </c:pt>
                <c:pt idx="17">
                  <c:v>299</c:v>
                </c:pt>
                <c:pt idx="18">
                  <c:v>303.05</c:v>
                </c:pt>
                <c:pt idx="19">
                  <c:v>314.89999999999998</c:v>
                </c:pt>
                <c:pt idx="20">
                  <c:v>318.60000000000002</c:v>
                </c:pt>
                <c:pt idx="21">
                  <c:v>320</c:v>
                </c:pt>
                <c:pt idx="22">
                  <c:v>321</c:v>
                </c:pt>
                <c:pt idx="23">
                  <c:v>326.27</c:v>
                </c:pt>
                <c:pt idx="24">
                  <c:v>331.55</c:v>
                </c:pt>
                <c:pt idx="25">
                  <c:v>336.19</c:v>
                </c:pt>
                <c:pt idx="26">
                  <c:v>342.9</c:v>
                </c:pt>
                <c:pt idx="27">
                  <c:v>347.65</c:v>
                </c:pt>
                <c:pt idx="28">
                  <c:v>351.5</c:v>
                </c:pt>
                <c:pt idx="29">
                  <c:v>353.26666666666665</c:v>
                </c:pt>
                <c:pt idx="30">
                  <c:v>364.37</c:v>
                </c:pt>
                <c:pt idx="31">
                  <c:v>375</c:v>
                </c:pt>
                <c:pt idx="32">
                  <c:v>383.66666666666669</c:v>
                </c:pt>
                <c:pt idx="33">
                  <c:v>394.9</c:v>
                </c:pt>
                <c:pt idx="34">
                  <c:v>399</c:v>
                </c:pt>
                <c:pt idx="35">
                  <c:v>399</c:v>
                </c:pt>
                <c:pt idx="36">
                  <c:v>399.9</c:v>
                </c:pt>
                <c:pt idx="37">
                  <c:v>400</c:v>
                </c:pt>
                <c:pt idx="38">
                  <c:v>419</c:v>
                </c:pt>
                <c:pt idx="39">
                  <c:v>426.54</c:v>
                </c:pt>
                <c:pt idx="40">
                  <c:v>433.6033333333333</c:v>
                </c:pt>
                <c:pt idx="41">
                  <c:v>440.85249999999996</c:v>
                </c:pt>
                <c:pt idx="42">
                  <c:v>456.35</c:v>
                </c:pt>
                <c:pt idx="43">
                  <c:v>459.9</c:v>
                </c:pt>
                <c:pt idx="44">
                  <c:v>467</c:v>
                </c:pt>
                <c:pt idx="45">
                  <c:v>471.6</c:v>
                </c:pt>
                <c:pt idx="46">
                  <c:v>494.23333333333329</c:v>
                </c:pt>
                <c:pt idx="47">
                  <c:v>497.08000000000004</c:v>
                </c:pt>
                <c:pt idx="48">
                  <c:v>498</c:v>
                </c:pt>
                <c:pt idx="49">
                  <c:v>499</c:v>
                </c:pt>
                <c:pt idx="50">
                  <c:v>499</c:v>
                </c:pt>
                <c:pt idx="51">
                  <c:v>499</c:v>
                </c:pt>
                <c:pt idx="52">
                  <c:v>510.12</c:v>
                </c:pt>
                <c:pt idx="53">
                  <c:v>513.4</c:v>
                </c:pt>
                <c:pt idx="54">
                  <c:v>519.91999999999996</c:v>
                </c:pt>
                <c:pt idx="55">
                  <c:v>549</c:v>
                </c:pt>
                <c:pt idx="56">
                  <c:v>581</c:v>
                </c:pt>
                <c:pt idx="57">
                  <c:v>608</c:v>
                </c:pt>
                <c:pt idx="58">
                  <c:v>650</c:v>
                </c:pt>
                <c:pt idx="59">
                  <c:v>680</c:v>
                </c:pt>
                <c:pt idx="60">
                  <c:v>703</c:v>
                </c:pt>
                <c:pt idx="61">
                  <c:v>806.65</c:v>
                </c:pt>
                <c:pt idx="62">
                  <c:v>949.05</c:v>
                </c:pt>
                <c:pt idx="63">
                  <c:v>999.9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7-4BA6-8C42-29ED05EBB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339344"/>
        <c:axId val="421335984"/>
      </c:barChart>
      <c:catAx>
        <c:axId val="42133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35984"/>
        <c:crosses val="autoZero"/>
        <c:auto val="1"/>
        <c:lblAlgn val="ctr"/>
        <c:lblOffset val="100"/>
        <c:noMultiLvlLbl val="0"/>
      </c:catAx>
      <c:valAx>
        <c:axId val="42133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TRY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3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[trendyol.xlsx]pivot!PivotTable4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Avg_rating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pivot!$E$23:$E$77</c:f>
              <c:strCache>
                <c:ptCount val="54"/>
                <c:pt idx="0">
                  <c:v>Laventin</c:v>
                </c:pt>
                <c:pt idx="1">
                  <c:v>Embeauty</c:v>
                </c:pt>
                <c:pt idx="2">
                  <c:v>Dermoskin</c:v>
                </c:pt>
                <c:pt idx="3">
                  <c:v>Bioterra</c:v>
                </c:pt>
                <c:pt idx="4">
                  <c:v>Jaja</c:v>
                </c:pt>
                <c:pt idx="5">
                  <c:v>Columbia</c:v>
                </c:pt>
                <c:pt idx="6">
                  <c:v>Dermokil</c:v>
                </c:pt>
                <c:pt idx="7">
                  <c:v>Morfose</c:v>
                </c:pt>
                <c:pt idx="8">
                  <c:v>Lady Beauty</c:v>
                </c:pt>
                <c:pt idx="9">
                  <c:v>Alerma</c:v>
                </c:pt>
                <c:pt idx="10">
                  <c:v>DIAMOND HAIR</c:v>
                </c:pt>
                <c:pt idx="11">
                  <c:v>MAİZA</c:v>
                </c:pt>
                <c:pt idx="12">
                  <c:v>Luhr Care</c:v>
                </c:pt>
                <c:pt idx="13">
                  <c:v>ENZYM COSMETICS</c:v>
                </c:pt>
                <c:pt idx="14">
                  <c:v>ISANA</c:v>
                </c:pt>
                <c:pt idx="15">
                  <c:v>Life Butter</c:v>
                </c:pt>
                <c:pt idx="16">
                  <c:v>COSMED</c:v>
                </c:pt>
                <c:pt idx="17">
                  <c:v>AXWELL PREMIUM</c:v>
                </c:pt>
                <c:pt idx="18">
                  <c:v>Paxe</c:v>
                </c:pt>
                <c:pt idx="19">
                  <c:v>mineaderm</c:v>
                </c:pt>
                <c:pt idx="20">
                  <c:v>Hunca Care</c:v>
                </c:pt>
                <c:pt idx="21">
                  <c:v>La Rachel</c:v>
                </c:pt>
                <c:pt idx="22">
                  <c:v>Restorex</c:v>
                </c:pt>
                <c:pt idx="23">
                  <c:v>Naturagen</c:v>
                </c:pt>
                <c:pt idx="24">
                  <c:v>Pierre Cardin</c:v>
                </c:pt>
                <c:pt idx="25">
                  <c:v>Mecitefendi</c:v>
                </c:pt>
                <c:pt idx="26">
                  <c:v>Bioblas</c:v>
                </c:pt>
                <c:pt idx="27">
                  <c:v>Head &amp; Shoulders</c:v>
                </c:pt>
                <c:pt idx="28">
                  <c:v>Kundal</c:v>
                </c:pt>
                <c:pt idx="29">
                  <c:v>DP</c:v>
                </c:pt>
                <c:pt idx="30">
                  <c:v>HC Care</c:v>
                </c:pt>
                <c:pt idx="31">
                  <c:v>Karseell</c:v>
                </c:pt>
                <c:pt idx="32">
                  <c:v>Meliboz</c:v>
                </c:pt>
                <c:pt idx="33">
                  <c:v>PHGLOWE</c:v>
                </c:pt>
                <c:pt idx="34">
                  <c:v>Elseve</c:v>
                </c:pt>
                <c:pt idx="35">
                  <c:v>MAMAAURA</c:v>
                </c:pt>
                <c:pt idx="36">
                  <c:v>Redist</c:v>
                </c:pt>
                <c:pt idx="37">
                  <c:v>INKLINATUR LIFESTYLE &amp; COSMETICS</c:v>
                </c:pt>
                <c:pt idx="38">
                  <c:v>Gliss</c:v>
                </c:pt>
                <c:pt idx="39">
                  <c:v>Heiluna</c:v>
                </c:pt>
                <c:pt idx="40">
                  <c:v>Prozinc</c:v>
                </c:pt>
                <c:pt idx="41">
                  <c:v>Blendax</c:v>
                </c:pt>
                <c:pt idx="42">
                  <c:v>Duru</c:v>
                </c:pt>
                <c:pt idx="43">
                  <c:v>Clear</c:v>
                </c:pt>
                <c:pt idx="44">
                  <c:v>Dermoten</c:v>
                </c:pt>
                <c:pt idx="45">
                  <c:v>Insane Naturale</c:v>
                </c:pt>
                <c:pt idx="46">
                  <c:v>Ceremony</c:v>
                </c:pt>
                <c:pt idx="47">
                  <c:v>Muelhens</c:v>
                </c:pt>
                <c:pt idx="48">
                  <c:v>Lapien's</c:v>
                </c:pt>
                <c:pt idx="49">
                  <c:v>HELENIE</c:v>
                </c:pt>
                <c:pt idx="50">
                  <c:v>PXEL</c:v>
                </c:pt>
                <c:pt idx="51">
                  <c:v>Lacinia</c:v>
                </c:pt>
                <c:pt idx="52">
                  <c:v>EshLife</c:v>
                </c:pt>
                <c:pt idx="53">
                  <c:v>Livray</c:v>
                </c:pt>
              </c:strCache>
            </c:strRef>
          </c:cat>
          <c:val>
            <c:numRef>
              <c:f>pivot!$F$23:$F$77</c:f>
              <c:numCache>
                <c:formatCode>General</c:formatCode>
                <c:ptCount val="54"/>
                <c:pt idx="0">
                  <c:v>4</c:v>
                </c:pt>
                <c:pt idx="1">
                  <c:v>4.0999999999999996</c:v>
                </c:pt>
                <c:pt idx="2">
                  <c:v>4.0999999999999996</c:v>
                </c:pt>
                <c:pt idx="3">
                  <c:v>4.0999999999999996</c:v>
                </c:pt>
                <c:pt idx="4">
                  <c:v>4.0999999999999996</c:v>
                </c:pt>
                <c:pt idx="5">
                  <c:v>4.2</c:v>
                </c:pt>
                <c:pt idx="6">
                  <c:v>4.2</c:v>
                </c:pt>
                <c:pt idx="7">
                  <c:v>4.2</c:v>
                </c:pt>
                <c:pt idx="8">
                  <c:v>4.2</c:v>
                </c:pt>
                <c:pt idx="9">
                  <c:v>4.2</c:v>
                </c:pt>
                <c:pt idx="10">
                  <c:v>4.2</c:v>
                </c:pt>
                <c:pt idx="11">
                  <c:v>4.2</c:v>
                </c:pt>
                <c:pt idx="12">
                  <c:v>4.2</c:v>
                </c:pt>
                <c:pt idx="13">
                  <c:v>4.2333333333333334</c:v>
                </c:pt>
                <c:pt idx="14">
                  <c:v>4.3</c:v>
                </c:pt>
                <c:pt idx="15">
                  <c:v>4.3</c:v>
                </c:pt>
                <c:pt idx="16">
                  <c:v>4.3</c:v>
                </c:pt>
                <c:pt idx="17">
                  <c:v>4.3</c:v>
                </c:pt>
                <c:pt idx="18">
                  <c:v>4.3</c:v>
                </c:pt>
                <c:pt idx="19">
                  <c:v>4.3</c:v>
                </c:pt>
                <c:pt idx="20">
                  <c:v>4.4000000000000004</c:v>
                </c:pt>
                <c:pt idx="21">
                  <c:v>4.4000000000000004</c:v>
                </c:pt>
                <c:pt idx="22">
                  <c:v>4.4000000000000004</c:v>
                </c:pt>
                <c:pt idx="23">
                  <c:v>4.4000000000000004</c:v>
                </c:pt>
                <c:pt idx="24">
                  <c:v>4.4000000000000004</c:v>
                </c:pt>
                <c:pt idx="25">
                  <c:v>4.45</c:v>
                </c:pt>
                <c:pt idx="26">
                  <c:v>4.5</c:v>
                </c:pt>
                <c:pt idx="27">
                  <c:v>4.5</c:v>
                </c:pt>
                <c:pt idx="28">
                  <c:v>4.5</c:v>
                </c:pt>
                <c:pt idx="29">
                  <c:v>4.5</c:v>
                </c:pt>
                <c:pt idx="30">
                  <c:v>4.5</c:v>
                </c:pt>
                <c:pt idx="31">
                  <c:v>4.5</c:v>
                </c:pt>
                <c:pt idx="32">
                  <c:v>4.5</c:v>
                </c:pt>
                <c:pt idx="33">
                  <c:v>4.5</c:v>
                </c:pt>
                <c:pt idx="34">
                  <c:v>4.5250000000000004</c:v>
                </c:pt>
                <c:pt idx="35">
                  <c:v>4.5333333333333332</c:v>
                </c:pt>
                <c:pt idx="36">
                  <c:v>4.55</c:v>
                </c:pt>
                <c:pt idx="37">
                  <c:v>4.5999999999999996</c:v>
                </c:pt>
                <c:pt idx="38">
                  <c:v>4.5999999999999996</c:v>
                </c:pt>
                <c:pt idx="39">
                  <c:v>4.5999999999999996</c:v>
                </c:pt>
                <c:pt idx="40">
                  <c:v>4.5999999999999996</c:v>
                </c:pt>
                <c:pt idx="41">
                  <c:v>4.5999999999999996</c:v>
                </c:pt>
                <c:pt idx="42">
                  <c:v>4.7</c:v>
                </c:pt>
                <c:pt idx="43">
                  <c:v>4.7</c:v>
                </c:pt>
                <c:pt idx="44">
                  <c:v>4.7</c:v>
                </c:pt>
                <c:pt idx="45">
                  <c:v>4.8</c:v>
                </c:pt>
                <c:pt idx="46">
                  <c:v>4.8</c:v>
                </c:pt>
                <c:pt idx="47">
                  <c:v>4.8499999999999996</c:v>
                </c:pt>
                <c:pt idx="48">
                  <c:v>4.8666666666666671</c:v>
                </c:pt>
                <c:pt idx="49">
                  <c:v>4.9000000000000004</c:v>
                </c:pt>
                <c:pt idx="50">
                  <c:v>4.9000000000000004</c:v>
                </c:pt>
                <c:pt idx="51">
                  <c:v>4.9000000000000004</c:v>
                </c:pt>
                <c:pt idx="52">
                  <c:v>5</c:v>
                </c:pt>
                <c:pt idx="5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6-442A-9F20-E4A7CC6F8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332144"/>
        <c:axId val="421326864"/>
      </c:barChart>
      <c:catAx>
        <c:axId val="42133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26864"/>
        <c:crosses val="autoZero"/>
        <c:auto val="1"/>
        <c:lblAlgn val="ctr"/>
        <c:lblOffset val="100"/>
        <c:noMultiLvlLbl val="0"/>
      </c:catAx>
      <c:valAx>
        <c:axId val="42132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3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F0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[trendyol.xlsx]pivot!PivotTable5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</a:t>
            </a:r>
            <a:r>
              <a:rPr lang="en-US" baseline="0"/>
              <a:t>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pivot!$I$40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pivot!$H$41:$H$95</c:f>
              <c:strCache>
                <c:ptCount val="54"/>
                <c:pt idx="0">
                  <c:v>Dermokil</c:v>
                </c:pt>
                <c:pt idx="1">
                  <c:v>Pierre Cardin</c:v>
                </c:pt>
                <c:pt idx="2">
                  <c:v>DP</c:v>
                </c:pt>
                <c:pt idx="3">
                  <c:v>Restorex</c:v>
                </c:pt>
                <c:pt idx="4">
                  <c:v>Redist</c:v>
                </c:pt>
                <c:pt idx="5">
                  <c:v>Blendax</c:v>
                </c:pt>
                <c:pt idx="6">
                  <c:v>Gliss</c:v>
                </c:pt>
                <c:pt idx="7">
                  <c:v>Duru</c:v>
                </c:pt>
                <c:pt idx="8">
                  <c:v>Bioblas</c:v>
                </c:pt>
                <c:pt idx="9">
                  <c:v>ENZYM COSMETICS</c:v>
                </c:pt>
                <c:pt idx="10">
                  <c:v>Ceremony</c:v>
                </c:pt>
                <c:pt idx="11">
                  <c:v>Hunca Care</c:v>
                </c:pt>
                <c:pt idx="12">
                  <c:v>ISANA</c:v>
                </c:pt>
                <c:pt idx="13">
                  <c:v>Head &amp; Shoulders</c:v>
                </c:pt>
                <c:pt idx="14">
                  <c:v>MAİZA</c:v>
                </c:pt>
                <c:pt idx="15">
                  <c:v>Mecitefendi</c:v>
                </c:pt>
                <c:pt idx="16">
                  <c:v>Morfose</c:v>
                </c:pt>
                <c:pt idx="17">
                  <c:v>Clear</c:v>
                </c:pt>
                <c:pt idx="18">
                  <c:v>Meliboz</c:v>
                </c:pt>
                <c:pt idx="19">
                  <c:v>Dermoten</c:v>
                </c:pt>
                <c:pt idx="20">
                  <c:v>PHGLOWE</c:v>
                </c:pt>
                <c:pt idx="21">
                  <c:v>EshLife</c:v>
                </c:pt>
                <c:pt idx="22">
                  <c:v>Lapien's</c:v>
                </c:pt>
                <c:pt idx="23">
                  <c:v>Embeauty</c:v>
                </c:pt>
                <c:pt idx="24">
                  <c:v>Paxe</c:v>
                </c:pt>
                <c:pt idx="25">
                  <c:v>Elseve</c:v>
                </c:pt>
                <c:pt idx="26">
                  <c:v>AXWELL PREMIUM</c:v>
                </c:pt>
                <c:pt idx="27">
                  <c:v>Columbia</c:v>
                </c:pt>
                <c:pt idx="28">
                  <c:v>Kundal</c:v>
                </c:pt>
                <c:pt idx="29">
                  <c:v>HC Care</c:v>
                </c:pt>
                <c:pt idx="30">
                  <c:v>Lacinia</c:v>
                </c:pt>
                <c:pt idx="31">
                  <c:v>Laventin</c:v>
                </c:pt>
                <c:pt idx="32">
                  <c:v>Lady Beauty</c:v>
                </c:pt>
                <c:pt idx="33">
                  <c:v>Muelhens</c:v>
                </c:pt>
                <c:pt idx="34">
                  <c:v>Luhr Care</c:v>
                </c:pt>
                <c:pt idx="35">
                  <c:v>mineaderm</c:v>
                </c:pt>
                <c:pt idx="36">
                  <c:v>Heiluna</c:v>
                </c:pt>
                <c:pt idx="37">
                  <c:v>Naturagen</c:v>
                </c:pt>
                <c:pt idx="38">
                  <c:v>La Rachel</c:v>
                </c:pt>
                <c:pt idx="39">
                  <c:v>HELENIE</c:v>
                </c:pt>
                <c:pt idx="40">
                  <c:v>Insane Naturale</c:v>
                </c:pt>
                <c:pt idx="41">
                  <c:v>Prozinc</c:v>
                </c:pt>
                <c:pt idx="42">
                  <c:v>MAMAAURA</c:v>
                </c:pt>
                <c:pt idx="43">
                  <c:v>Dermoskin</c:v>
                </c:pt>
                <c:pt idx="44">
                  <c:v>Alerma</c:v>
                </c:pt>
                <c:pt idx="45">
                  <c:v>Jaja</c:v>
                </c:pt>
                <c:pt idx="46">
                  <c:v>PXEL</c:v>
                </c:pt>
                <c:pt idx="47">
                  <c:v>DIAMOND HAIR</c:v>
                </c:pt>
                <c:pt idx="48">
                  <c:v>Karseell</c:v>
                </c:pt>
                <c:pt idx="49">
                  <c:v>Bioterra</c:v>
                </c:pt>
                <c:pt idx="50">
                  <c:v>Life Butter</c:v>
                </c:pt>
                <c:pt idx="51">
                  <c:v>INKLINATUR LIFESTYLE &amp; COSMETICS</c:v>
                </c:pt>
                <c:pt idx="52">
                  <c:v>Livray</c:v>
                </c:pt>
                <c:pt idx="53">
                  <c:v>COSMED</c:v>
                </c:pt>
              </c:strCache>
            </c:strRef>
          </c:cat>
          <c:val>
            <c:numRef>
              <c:f>pivot!$I$41:$I$95</c:f>
              <c:numCache>
                <c:formatCode>_([$TRY]\ * #,##0_);_([$TRY]\ * \(#,##0\);_([$TRY]\ * "-"?_);_(@_)</c:formatCode>
                <c:ptCount val="54"/>
                <c:pt idx="0">
                  <c:v>18.193999999999999</c:v>
                </c:pt>
                <c:pt idx="1">
                  <c:v>19.333333333333332</c:v>
                </c:pt>
                <c:pt idx="2">
                  <c:v>23.112500000000001</c:v>
                </c:pt>
                <c:pt idx="3">
                  <c:v>26.580000000000005</c:v>
                </c:pt>
                <c:pt idx="4">
                  <c:v>27.417000000000002</c:v>
                </c:pt>
                <c:pt idx="5">
                  <c:v>29.799999999999997</c:v>
                </c:pt>
                <c:pt idx="6">
                  <c:v>30.0425</c:v>
                </c:pt>
                <c:pt idx="7">
                  <c:v>39.887500000000003</c:v>
                </c:pt>
                <c:pt idx="8">
                  <c:v>44.85</c:v>
                </c:pt>
                <c:pt idx="9">
                  <c:v>54.266666666666673</c:v>
                </c:pt>
                <c:pt idx="10">
                  <c:v>55.98</c:v>
                </c:pt>
                <c:pt idx="11">
                  <c:v>59.259259259259252</c:v>
                </c:pt>
                <c:pt idx="12">
                  <c:v>65.966666666666669</c:v>
                </c:pt>
                <c:pt idx="13">
                  <c:v>66.162946428571431</c:v>
                </c:pt>
                <c:pt idx="14">
                  <c:v>66.633802816901408</c:v>
                </c:pt>
                <c:pt idx="15">
                  <c:v>74.150000000000006</c:v>
                </c:pt>
                <c:pt idx="16">
                  <c:v>75.857142857142861</c:v>
                </c:pt>
                <c:pt idx="17">
                  <c:v>78.285714285714278</c:v>
                </c:pt>
                <c:pt idx="18">
                  <c:v>80</c:v>
                </c:pt>
                <c:pt idx="19">
                  <c:v>81.567499999999995</c:v>
                </c:pt>
                <c:pt idx="20">
                  <c:v>82.307692307692307</c:v>
                </c:pt>
                <c:pt idx="21">
                  <c:v>85.724999999999994</c:v>
                </c:pt>
                <c:pt idx="22">
                  <c:v>86.720666666666673</c:v>
                </c:pt>
                <c:pt idx="23">
                  <c:v>86.912499999999994</c:v>
                </c:pt>
                <c:pt idx="24">
                  <c:v>87.875</c:v>
                </c:pt>
                <c:pt idx="25">
                  <c:v>88.841250000000002</c:v>
                </c:pt>
                <c:pt idx="26">
                  <c:v>91.833333333333329</c:v>
                </c:pt>
                <c:pt idx="27">
                  <c:v>99.75</c:v>
                </c:pt>
                <c:pt idx="28">
                  <c:v>102.67999999999999</c:v>
                </c:pt>
                <c:pt idx="29">
                  <c:v>103.90196078431372</c:v>
                </c:pt>
                <c:pt idx="30">
                  <c:v>114.08750000000001</c:v>
                </c:pt>
                <c:pt idx="31">
                  <c:v>116.75</c:v>
                </c:pt>
                <c:pt idx="32">
                  <c:v>119.6</c:v>
                </c:pt>
                <c:pt idx="33">
                  <c:v>119.7565</c:v>
                </c:pt>
                <c:pt idx="34">
                  <c:v>124.75</c:v>
                </c:pt>
                <c:pt idx="35">
                  <c:v>125</c:v>
                </c:pt>
                <c:pt idx="36">
                  <c:v>127.53000000000002</c:v>
                </c:pt>
                <c:pt idx="37">
                  <c:v>129.97999999999999</c:v>
                </c:pt>
                <c:pt idx="38">
                  <c:v>132.62</c:v>
                </c:pt>
                <c:pt idx="39">
                  <c:v>142.28571428571428</c:v>
                </c:pt>
                <c:pt idx="40">
                  <c:v>143.73000000000002</c:v>
                </c:pt>
                <c:pt idx="41">
                  <c:v>153.29999999999998</c:v>
                </c:pt>
                <c:pt idx="42">
                  <c:v>153.46666666666667</c:v>
                </c:pt>
                <c:pt idx="43">
                  <c:v>157.44999999999999</c:v>
                </c:pt>
                <c:pt idx="44">
                  <c:v>159.60000000000002</c:v>
                </c:pt>
                <c:pt idx="45">
                  <c:v>166.33333333333334</c:v>
                </c:pt>
                <c:pt idx="46">
                  <c:v>170</c:v>
                </c:pt>
                <c:pt idx="47">
                  <c:v>184.24242424242425</c:v>
                </c:pt>
                <c:pt idx="48">
                  <c:v>189.81</c:v>
                </c:pt>
                <c:pt idx="49">
                  <c:v>201.66249999999999</c:v>
                </c:pt>
                <c:pt idx="50">
                  <c:v>219.60000000000002</c:v>
                </c:pt>
                <c:pt idx="51">
                  <c:v>260</c:v>
                </c:pt>
                <c:pt idx="52">
                  <c:v>281.2</c:v>
                </c:pt>
                <c:pt idx="53">
                  <c:v>333.29999999999995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3-4BD6-B3F6-95329AEFD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438064"/>
        <c:axId val="30406384"/>
      </c:barChart>
      <c:catAx>
        <c:axId val="3043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06384"/>
        <c:crosses val="autoZero"/>
        <c:auto val="1"/>
        <c:lblAlgn val="ctr"/>
        <c:lblOffset val="100"/>
        <c:noMultiLvlLbl val="0"/>
      </c:catAx>
      <c:valAx>
        <c:axId val="304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TRY]\ * #,##0_);_([$TRY]\ * \(#,##0\);_([$TRY]\ * &quot;-&quot;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F0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[trendyol.xlsx]pivot!PivotTable2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price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284536307961505"/>
          <c:y val="0.21657188684747739"/>
          <c:w val="0.71130271216097984"/>
          <c:h val="0.405636482939632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pivot!$A$4:$A$68</c:f>
              <c:strCache>
                <c:ptCount val="64"/>
                <c:pt idx="0">
                  <c:v>Gliss</c:v>
                </c:pt>
                <c:pt idx="1">
                  <c:v>Pierre Cardin</c:v>
                </c:pt>
                <c:pt idx="2">
                  <c:v>Blendax</c:v>
                </c:pt>
                <c:pt idx="3">
                  <c:v>Duru</c:v>
                </c:pt>
                <c:pt idx="4">
                  <c:v>Bioblas</c:v>
                </c:pt>
                <c:pt idx="5">
                  <c:v>Dermokil</c:v>
                </c:pt>
                <c:pt idx="6">
                  <c:v>DP</c:v>
                </c:pt>
                <c:pt idx="7">
                  <c:v>Restorex</c:v>
                </c:pt>
                <c:pt idx="8">
                  <c:v>ISANA</c:v>
                </c:pt>
                <c:pt idx="9">
                  <c:v>Redist</c:v>
                </c:pt>
                <c:pt idx="10">
                  <c:v>ENZYM COSMETICS</c:v>
                </c:pt>
                <c:pt idx="11">
                  <c:v>Ceremony</c:v>
                </c:pt>
                <c:pt idx="12">
                  <c:v>MAİZA</c:v>
                </c:pt>
                <c:pt idx="13">
                  <c:v>Elseve</c:v>
                </c:pt>
                <c:pt idx="14">
                  <c:v>Head &amp; Shoulders</c:v>
                </c:pt>
                <c:pt idx="15">
                  <c:v>Clear</c:v>
                </c:pt>
                <c:pt idx="16">
                  <c:v>Mecitefendi</c:v>
                </c:pt>
                <c:pt idx="17">
                  <c:v>Lady Beauty</c:v>
                </c:pt>
                <c:pt idx="18">
                  <c:v>AXWELL PREMIUM</c:v>
                </c:pt>
                <c:pt idx="19">
                  <c:v>Dermoskin</c:v>
                </c:pt>
                <c:pt idx="20">
                  <c:v>Morfose</c:v>
                </c:pt>
                <c:pt idx="21">
                  <c:v>Meliboz</c:v>
                </c:pt>
                <c:pt idx="22">
                  <c:v>PHGLOWE</c:v>
                </c:pt>
                <c:pt idx="23">
                  <c:v>Dermoten</c:v>
                </c:pt>
                <c:pt idx="24">
                  <c:v>La Rachel</c:v>
                </c:pt>
                <c:pt idx="25">
                  <c:v>True Bee</c:v>
                </c:pt>
                <c:pt idx="26">
                  <c:v>EshLife</c:v>
                </c:pt>
                <c:pt idx="27">
                  <c:v>Embeauty</c:v>
                </c:pt>
                <c:pt idx="28">
                  <c:v>Paxe</c:v>
                </c:pt>
                <c:pt idx="29">
                  <c:v>HC Care</c:v>
                </c:pt>
                <c:pt idx="30">
                  <c:v>Muelhens</c:v>
                </c:pt>
                <c:pt idx="31">
                  <c:v>mineaderm</c:v>
                </c:pt>
                <c:pt idx="32">
                  <c:v>MAMAAURA</c:v>
                </c:pt>
                <c:pt idx="33">
                  <c:v>Revox</c:v>
                </c:pt>
                <c:pt idx="34">
                  <c:v>Columbia</c:v>
                </c:pt>
                <c:pt idx="35">
                  <c:v>Alerma</c:v>
                </c:pt>
                <c:pt idx="36">
                  <c:v>WLab Cosmetics</c:v>
                </c:pt>
                <c:pt idx="37">
                  <c:v>Hunca Care</c:v>
                </c:pt>
                <c:pt idx="38">
                  <c:v>The Ceel</c:v>
                </c:pt>
                <c:pt idx="39">
                  <c:v>Sistéme 11</c:v>
                </c:pt>
                <c:pt idx="40">
                  <c:v>Lapien's</c:v>
                </c:pt>
                <c:pt idx="41">
                  <c:v>Softto Plus</c:v>
                </c:pt>
                <c:pt idx="42">
                  <c:v>Lacinia</c:v>
                </c:pt>
                <c:pt idx="43">
                  <c:v>Prozinc</c:v>
                </c:pt>
                <c:pt idx="44">
                  <c:v>Laventin</c:v>
                </c:pt>
                <c:pt idx="45">
                  <c:v>Insane Naturale</c:v>
                </c:pt>
                <c:pt idx="46">
                  <c:v>SantePlus</c:v>
                </c:pt>
                <c:pt idx="47">
                  <c:v>Visbuen</c:v>
                </c:pt>
                <c:pt idx="48">
                  <c:v>HELENIE</c:v>
                </c:pt>
                <c:pt idx="49">
                  <c:v>Jaja</c:v>
                </c:pt>
                <c:pt idx="50">
                  <c:v>Zigavus</c:v>
                </c:pt>
                <c:pt idx="51">
                  <c:v>Luhr Care</c:v>
                </c:pt>
                <c:pt idx="52">
                  <c:v>Heiluna</c:v>
                </c:pt>
                <c:pt idx="53">
                  <c:v>Kundal</c:v>
                </c:pt>
                <c:pt idx="54">
                  <c:v>Naturagen</c:v>
                </c:pt>
                <c:pt idx="55">
                  <c:v>Life Butter</c:v>
                </c:pt>
                <c:pt idx="56">
                  <c:v>Swissoderm</c:v>
                </c:pt>
                <c:pt idx="57">
                  <c:v>DIAMOND HAIR</c:v>
                </c:pt>
                <c:pt idx="58">
                  <c:v>INKLINATUR LIFESTYLE &amp; COSMETICS</c:v>
                </c:pt>
                <c:pt idx="59">
                  <c:v>PXEL</c:v>
                </c:pt>
                <c:pt idx="60">
                  <c:v>Livray</c:v>
                </c:pt>
                <c:pt idx="61">
                  <c:v>Bioterra</c:v>
                </c:pt>
                <c:pt idx="62">
                  <c:v>Karseell</c:v>
                </c:pt>
                <c:pt idx="63">
                  <c:v>COSMED</c:v>
                </c:pt>
              </c:strCache>
            </c:strRef>
          </c:cat>
          <c:val>
            <c:numRef>
              <c:f>pivot!$B$4:$B$68</c:f>
              <c:numCache>
                <c:formatCode>[$TRY]\ #,##0</c:formatCode>
                <c:ptCount val="64"/>
                <c:pt idx="0">
                  <c:v>120.17</c:v>
                </c:pt>
                <c:pt idx="1">
                  <c:v>145</c:v>
                </c:pt>
                <c:pt idx="2">
                  <c:v>149</c:v>
                </c:pt>
                <c:pt idx="3">
                  <c:v>159.55000000000001</c:v>
                </c:pt>
                <c:pt idx="4">
                  <c:v>161.45999999999998</c:v>
                </c:pt>
                <c:pt idx="5">
                  <c:v>181.94</c:v>
                </c:pt>
                <c:pt idx="6">
                  <c:v>184.9</c:v>
                </c:pt>
                <c:pt idx="7">
                  <c:v>192.18666666666664</c:v>
                </c:pt>
                <c:pt idx="8">
                  <c:v>197.9</c:v>
                </c:pt>
                <c:pt idx="9">
                  <c:v>200.17000000000002</c:v>
                </c:pt>
                <c:pt idx="10">
                  <c:v>217.06666666666663</c:v>
                </c:pt>
                <c:pt idx="11">
                  <c:v>223.92</c:v>
                </c:pt>
                <c:pt idx="12">
                  <c:v>236.55</c:v>
                </c:pt>
                <c:pt idx="13">
                  <c:v>238.64250000000001</c:v>
                </c:pt>
                <c:pt idx="14">
                  <c:v>268.375</c:v>
                </c:pt>
                <c:pt idx="15">
                  <c:v>274</c:v>
                </c:pt>
                <c:pt idx="16">
                  <c:v>296.60000000000002</c:v>
                </c:pt>
                <c:pt idx="17">
                  <c:v>299</c:v>
                </c:pt>
                <c:pt idx="18">
                  <c:v>303.05</c:v>
                </c:pt>
                <c:pt idx="19">
                  <c:v>314.89999999999998</c:v>
                </c:pt>
                <c:pt idx="20">
                  <c:v>318.60000000000002</c:v>
                </c:pt>
                <c:pt idx="21">
                  <c:v>320</c:v>
                </c:pt>
                <c:pt idx="22">
                  <c:v>321</c:v>
                </c:pt>
                <c:pt idx="23">
                  <c:v>326.27</c:v>
                </c:pt>
                <c:pt idx="24">
                  <c:v>331.55</c:v>
                </c:pt>
                <c:pt idx="25">
                  <c:v>336.19</c:v>
                </c:pt>
                <c:pt idx="26">
                  <c:v>342.9</c:v>
                </c:pt>
                <c:pt idx="27">
                  <c:v>347.65</c:v>
                </c:pt>
                <c:pt idx="28">
                  <c:v>351.5</c:v>
                </c:pt>
                <c:pt idx="29">
                  <c:v>353.26666666666665</c:v>
                </c:pt>
                <c:pt idx="30">
                  <c:v>364.37</c:v>
                </c:pt>
                <c:pt idx="31">
                  <c:v>375</c:v>
                </c:pt>
                <c:pt idx="32">
                  <c:v>383.66666666666669</c:v>
                </c:pt>
                <c:pt idx="33">
                  <c:v>394.9</c:v>
                </c:pt>
                <c:pt idx="34">
                  <c:v>399</c:v>
                </c:pt>
                <c:pt idx="35">
                  <c:v>399</c:v>
                </c:pt>
                <c:pt idx="36">
                  <c:v>399.9</c:v>
                </c:pt>
                <c:pt idx="37">
                  <c:v>400</c:v>
                </c:pt>
                <c:pt idx="38">
                  <c:v>419</c:v>
                </c:pt>
                <c:pt idx="39">
                  <c:v>426.54</c:v>
                </c:pt>
                <c:pt idx="40">
                  <c:v>433.6033333333333</c:v>
                </c:pt>
                <c:pt idx="41">
                  <c:v>440.85249999999996</c:v>
                </c:pt>
                <c:pt idx="42">
                  <c:v>456.35</c:v>
                </c:pt>
                <c:pt idx="43">
                  <c:v>459.9</c:v>
                </c:pt>
                <c:pt idx="44">
                  <c:v>467</c:v>
                </c:pt>
                <c:pt idx="45">
                  <c:v>471.6</c:v>
                </c:pt>
                <c:pt idx="46">
                  <c:v>494.23333333333329</c:v>
                </c:pt>
                <c:pt idx="47">
                  <c:v>497.08000000000004</c:v>
                </c:pt>
                <c:pt idx="48">
                  <c:v>498</c:v>
                </c:pt>
                <c:pt idx="49">
                  <c:v>499</c:v>
                </c:pt>
                <c:pt idx="50">
                  <c:v>499</c:v>
                </c:pt>
                <c:pt idx="51">
                  <c:v>499</c:v>
                </c:pt>
                <c:pt idx="52">
                  <c:v>510.12</c:v>
                </c:pt>
                <c:pt idx="53">
                  <c:v>513.4</c:v>
                </c:pt>
                <c:pt idx="54">
                  <c:v>519.91999999999996</c:v>
                </c:pt>
                <c:pt idx="55">
                  <c:v>549</c:v>
                </c:pt>
                <c:pt idx="56">
                  <c:v>581</c:v>
                </c:pt>
                <c:pt idx="57">
                  <c:v>608</c:v>
                </c:pt>
                <c:pt idx="58">
                  <c:v>650</c:v>
                </c:pt>
                <c:pt idx="59">
                  <c:v>680</c:v>
                </c:pt>
                <c:pt idx="60">
                  <c:v>703</c:v>
                </c:pt>
                <c:pt idx="61">
                  <c:v>806.65</c:v>
                </c:pt>
                <c:pt idx="62">
                  <c:v>949.05</c:v>
                </c:pt>
                <c:pt idx="63">
                  <c:v>999.9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D-4CE9-878E-B738E5F86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339344"/>
        <c:axId val="421335984"/>
      </c:barChart>
      <c:catAx>
        <c:axId val="42133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35984"/>
        <c:crosses val="autoZero"/>
        <c:auto val="1"/>
        <c:lblAlgn val="ctr"/>
        <c:lblOffset val="100"/>
        <c:noMultiLvlLbl val="0"/>
      </c:catAx>
      <c:valAx>
        <c:axId val="42133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TRY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3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[trendyol.xlsx]pivot!PivotTable4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Avg_rating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pivot!$E$23:$E$77</c:f>
              <c:strCache>
                <c:ptCount val="54"/>
                <c:pt idx="0">
                  <c:v>Laventin</c:v>
                </c:pt>
                <c:pt idx="1">
                  <c:v>Embeauty</c:v>
                </c:pt>
                <c:pt idx="2">
                  <c:v>Dermoskin</c:v>
                </c:pt>
                <c:pt idx="3">
                  <c:v>Bioterra</c:v>
                </c:pt>
                <c:pt idx="4">
                  <c:v>Jaja</c:v>
                </c:pt>
                <c:pt idx="5">
                  <c:v>Columbia</c:v>
                </c:pt>
                <c:pt idx="6">
                  <c:v>Dermokil</c:v>
                </c:pt>
                <c:pt idx="7">
                  <c:v>Morfose</c:v>
                </c:pt>
                <c:pt idx="8">
                  <c:v>Lady Beauty</c:v>
                </c:pt>
                <c:pt idx="9">
                  <c:v>Alerma</c:v>
                </c:pt>
                <c:pt idx="10">
                  <c:v>DIAMOND HAIR</c:v>
                </c:pt>
                <c:pt idx="11">
                  <c:v>MAİZA</c:v>
                </c:pt>
                <c:pt idx="12">
                  <c:v>Luhr Care</c:v>
                </c:pt>
                <c:pt idx="13">
                  <c:v>ENZYM COSMETICS</c:v>
                </c:pt>
                <c:pt idx="14">
                  <c:v>ISANA</c:v>
                </c:pt>
                <c:pt idx="15">
                  <c:v>Life Butter</c:v>
                </c:pt>
                <c:pt idx="16">
                  <c:v>COSMED</c:v>
                </c:pt>
                <c:pt idx="17">
                  <c:v>AXWELL PREMIUM</c:v>
                </c:pt>
                <c:pt idx="18">
                  <c:v>Paxe</c:v>
                </c:pt>
                <c:pt idx="19">
                  <c:v>mineaderm</c:v>
                </c:pt>
                <c:pt idx="20">
                  <c:v>Hunca Care</c:v>
                </c:pt>
                <c:pt idx="21">
                  <c:v>La Rachel</c:v>
                </c:pt>
                <c:pt idx="22">
                  <c:v>Restorex</c:v>
                </c:pt>
                <c:pt idx="23">
                  <c:v>Naturagen</c:v>
                </c:pt>
                <c:pt idx="24">
                  <c:v>Pierre Cardin</c:v>
                </c:pt>
                <c:pt idx="25">
                  <c:v>Mecitefendi</c:v>
                </c:pt>
                <c:pt idx="26">
                  <c:v>Bioblas</c:v>
                </c:pt>
                <c:pt idx="27">
                  <c:v>Head &amp; Shoulders</c:v>
                </c:pt>
                <c:pt idx="28">
                  <c:v>Kundal</c:v>
                </c:pt>
                <c:pt idx="29">
                  <c:v>DP</c:v>
                </c:pt>
                <c:pt idx="30">
                  <c:v>HC Care</c:v>
                </c:pt>
                <c:pt idx="31">
                  <c:v>Karseell</c:v>
                </c:pt>
                <c:pt idx="32">
                  <c:v>Meliboz</c:v>
                </c:pt>
                <c:pt idx="33">
                  <c:v>PHGLOWE</c:v>
                </c:pt>
                <c:pt idx="34">
                  <c:v>Elseve</c:v>
                </c:pt>
                <c:pt idx="35">
                  <c:v>MAMAAURA</c:v>
                </c:pt>
                <c:pt idx="36">
                  <c:v>Redist</c:v>
                </c:pt>
                <c:pt idx="37">
                  <c:v>INKLINATUR LIFESTYLE &amp; COSMETICS</c:v>
                </c:pt>
                <c:pt idx="38">
                  <c:v>Gliss</c:v>
                </c:pt>
                <c:pt idx="39">
                  <c:v>Heiluna</c:v>
                </c:pt>
                <c:pt idx="40">
                  <c:v>Prozinc</c:v>
                </c:pt>
                <c:pt idx="41">
                  <c:v>Blendax</c:v>
                </c:pt>
                <c:pt idx="42">
                  <c:v>Duru</c:v>
                </c:pt>
                <c:pt idx="43">
                  <c:v>Clear</c:v>
                </c:pt>
                <c:pt idx="44">
                  <c:v>Dermoten</c:v>
                </c:pt>
                <c:pt idx="45">
                  <c:v>Insane Naturale</c:v>
                </c:pt>
                <c:pt idx="46">
                  <c:v>Ceremony</c:v>
                </c:pt>
                <c:pt idx="47">
                  <c:v>Muelhens</c:v>
                </c:pt>
                <c:pt idx="48">
                  <c:v>Lapien's</c:v>
                </c:pt>
                <c:pt idx="49">
                  <c:v>HELENIE</c:v>
                </c:pt>
                <c:pt idx="50">
                  <c:v>PXEL</c:v>
                </c:pt>
                <c:pt idx="51">
                  <c:v>Lacinia</c:v>
                </c:pt>
                <c:pt idx="52">
                  <c:v>EshLife</c:v>
                </c:pt>
                <c:pt idx="53">
                  <c:v>Livray</c:v>
                </c:pt>
              </c:strCache>
            </c:strRef>
          </c:cat>
          <c:val>
            <c:numRef>
              <c:f>pivot!$F$23:$F$77</c:f>
              <c:numCache>
                <c:formatCode>General</c:formatCode>
                <c:ptCount val="54"/>
                <c:pt idx="0">
                  <c:v>4</c:v>
                </c:pt>
                <c:pt idx="1">
                  <c:v>4.0999999999999996</c:v>
                </c:pt>
                <c:pt idx="2">
                  <c:v>4.0999999999999996</c:v>
                </c:pt>
                <c:pt idx="3">
                  <c:v>4.0999999999999996</c:v>
                </c:pt>
                <c:pt idx="4">
                  <c:v>4.0999999999999996</c:v>
                </c:pt>
                <c:pt idx="5">
                  <c:v>4.2</c:v>
                </c:pt>
                <c:pt idx="6">
                  <c:v>4.2</c:v>
                </c:pt>
                <c:pt idx="7">
                  <c:v>4.2</c:v>
                </c:pt>
                <c:pt idx="8">
                  <c:v>4.2</c:v>
                </c:pt>
                <c:pt idx="9">
                  <c:v>4.2</c:v>
                </c:pt>
                <c:pt idx="10">
                  <c:v>4.2</c:v>
                </c:pt>
                <c:pt idx="11">
                  <c:v>4.2</c:v>
                </c:pt>
                <c:pt idx="12">
                  <c:v>4.2</c:v>
                </c:pt>
                <c:pt idx="13">
                  <c:v>4.2333333333333334</c:v>
                </c:pt>
                <c:pt idx="14">
                  <c:v>4.3</c:v>
                </c:pt>
                <c:pt idx="15">
                  <c:v>4.3</c:v>
                </c:pt>
                <c:pt idx="16">
                  <c:v>4.3</c:v>
                </c:pt>
                <c:pt idx="17">
                  <c:v>4.3</c:v>
                </c:pt>
                <c:pt idx="18">
                  <c:v>4.3</c:v>
                </c:pt>
                <c:pt idx="19">
                  <c:v>4.3</c:v>
                </c:pt>
                <c:pt idx="20">
                  <c:v>4.4000000000000004</c:v>
                </c:pt>
                <c:pt idx="21">
                  <c:v>4.4000000000000004</c:v>
                </c:pt>
                <c:pt idx="22">
                  <c:v>4.4000000000000004</c:v>
                </c:pt>
                <c:pt idx="23">
                  <c:v>4.4000000000000004</c:v>
                </c:pt>
                <c:pt idx="24">
                  <c:v>4.4000000000000004</c:v>
                </c:pt>
                <c:pt idx="25">
                  <c:v>4.45</c:v>
                </c:pt>
                <c:pt idx="26">
                  <c:v>4.5</c:v>
                </c:pt>
                <c:pt idx="27">
                  <c:v>4.5</c:v>
                </c:pt>
                <c:pt idx="28">
                  <c:v>4.5</c:v>
                </c:pt>
                <c:pt idx="29">
                  <c:v>4.5</c:v>
                </c:pt>
                <c:pt idx="30">
                  <c:v>4.5</c:v>
                </c:pt>
                <c:pt idx="31">
                  <c:v>4.5</c:v>
                </c:pt>
                <c:pt idx="32">
                  <c:v>4.5</c:v>
                </c:pt>
                <c:pt idx="33">
                  <c:v>4.5</c:v>
                </c:pt>
                <c:pt idx="34">
                  <c:v>4.5250000000000004</c:v>
                </c:pt>
                <c:pt idx="35">
                  <c:v>4.5333333333333332</c:v>
                </c:pt>
                <c:pt idx="36">
                  <c:v>4.55</c:v>
                </c:pt>
                <c:pt idx="37">
                  <c:v>4.5999999999999996</c:v>
                </c:pt>
                <c:pt idx="38">
                  <c:v>4.5999999999999996</c:v>
                </c:pt>
                <c:pt idx="39">
                  <c:v>4.5999999999999996</c:v>
                </c:pt>
                <c:pt idx="40">
                  <c:v>4.5999999999999996</c:v>
                </c:pt>
                <c:pt idx="41">
                  <c:v>4.5999999999999996</c:v>
                </c:pt>
                <c:pt idx="42">
                  <c:v>4.7</c:v>
                </c:pt>
                <c:pt idx="43">
                  <c:v>4.7</c:v>
                </c:pt>
                <c:pt idx="44">
                  <c:v>4.7</c:v>
                </c:pt>
                <c:pt idx="45">
                  <c:v>4.8</c:v>
                </c:pt>
                <c:pt idx="46">
                  <c:v>4.8</c:v>
                </c:pt>
                <c:pt idx="47">
                  <c:v>4.8499999999999996</c:v>
                </c:pt>
                <c:pt idx="48">
                  <c:v>4.8666666666666671</c:v>
                </c:pt>
                <c:pt idx="49">
                  <c:v>4.9000000000000004</c:v>
                </c:pt>
                <c:pt idx="50">
                  <c:v>4.9000000000000004</c:v>
                </c:pt>
                <c:pt idx="51">
                  <c:v>4.9000000000000004</c:v>
                </c:pt>
                <c:pt idx="52">
                  <c:v>5</c:v>
                </c:pt>
                <c:pt idx="5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2-42C8-AC37-BDCF10980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332144"/>
        <c:axId val="421326864"/>
      </c:barChart>
      <c:catAx>
        <c:axId val="42133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26864"/>
        <c:crosses val="autoZero"/>
        <c:auto val="1"/>
        <c:lblAlgn val="ctr"/>
        <c:lblOffset val="100"/>
        <c:noMultiLvlLbl val="0"/>
      </c:catAx>
      <c:valAx>
        <c:axId val="42132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3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F0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[trendyol.xlsx]pivot!PivotTable5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Brand</a:t>
            </a:r>
            <a:r>
              <a:rPr lang="en-US" baseline="0"/>
              <a:t> vs price_100 ml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pivot!$I$40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pivot!$H$41:$H$95</c:f>
              <c:strCache>
                <c:ptCount val="54"/>
                <c:pt idx="0">
                  <c:v>Dermokil</c:v>
                </c:pt>
                <c:pt idx="1">
                  <c:v>Pierre Cardin</c:v>
                </c:pt>
                <c:pt idx="2">
                  <c:v>DP</c:v>
                </c:pt>
                <c:pt idx="3">
                  <c:v>Restorex</c:v>
                </c:pt>
                <c:pt idx="4">
                  <c:v>Redist</c:v>
                </c:pt>
                <c:pt idx="5">
                  <c:v>Blendax</c:v>
                </c:pt>
                <c:pt idx="6">
                  <c:v>Gliss</c:v>
                </c:pt>
                <c:pt idx="7">
                  <c:v>Duru</c:v>
                </c:pt>
                <c:pt idx="8">
                  <c:v>Bioblas</c:v>
                </c:pt>
                <c:pt idx="9">
                  <c:v>ENZYM COSMETICS</c:v>
                </c:pt>
                <c:pt idx="10">
                  <c:v>Ceremony</c:v>
                </c:pt>
                <c:pt idx="11">
                  <c:v>Hunca Care</c:v>
                </c:pt>
                <c:pt idx="12">
                  <c:v>ISANA</c:v>
                </c:pt>
                <c:pt idx="13">
                  <c:v>Head &amp; Shoulders</c:v>
                </c:pt>
                <c:pt idx="14">
                  <c:v>MAİZA</c:v>
                </c:pt>
                <c:pt idx="15">
                  <c:v>Mecitefendi</c:v>
                </c:pt>
                <c:pt idx="16">
                  <c:v>Morfose</c:v>
                </c:pt>
                <c:pt idx="17">
                  <c:v>Clear</c:v>
                </c:pt>
                <c:pt idx="18">
                  <c:v>Meliboz</c:v>
                </c:pt>
                <c:pt idx="19">
                  <c:v>Dermoten</c:v>
                </c:pt>
                <c:pt idx="20">
                  <c:v>PHGLOWE</c:v>
                </c:pt>
                <c:pt idx="21">
                  <c:v>EshLife</c:v>
                </c:pt>
                <c:pt idx="22">
                  <c:v>Lapien's</c:v>
                </c:pt>
                <c:pt idx="23">
                  <c:v>Embeauty</c:v>
                </c:pt>
                <c:pt idx="24">
                  <c:v>Paxe</c:v>
                </c:pt>
                <c:pt idx="25">
                  <c:v>Elseve</c:v>
                </c:pt>
                <c:pt idx="26">
                  <c:v>AXWELL PREMIUM</c:v>
                </c:pt>
                <c:pt idx="27">
                  <c:v>Columbia</c:v>
                </c:pt>
                <c:pt idx="28">
                  <c:v>Kundal</c:v>
                </c:pt>
                <c:pt idx="29">
                  <c:v>HC Care</c:v>
                </c:pt>
                <c:pt idx="30">
                  <c:v>Lacinia</c:v>
                </c:pt>
                <c:pt idx="31">
                  <c:v>Laventin</c:v>
                </c:pt>
                <c:pt idx="32">
                  <c:v>Lady Beauty</c:v>
                </c:pt>
                <c:pt idx="33">
                  <c:v>Muelhens</c:v>
                </c:pt>
                <c:pt idx="34">
                  <c:v>Luhr Care</c:v>
                </c:pt>
                <c:pt idx="35">
                  <c:v>mineaderm</c:v>
                </c:pt>
                <c:pt idx="36">
                  <c:v>Heiluna</c:v>
                </c:pt>
                <c:pt idx="37">
                  <c:v>Naturagen</c:v>
                </c:pt>
                <c:pt idx="38">
                  <c:v>La Rachel</c:v>
                </c:pt>
                <c:pt idx="39">
                  <c:v>HELENIE</c:v>
                </c:pt>
                <c:pt idx="40">
                  <c:v>Insane Naturale</c:v>
                </c:pt>
                <c:pt idx="41">
                  <c:v>Prozinc</c:v>
                </c:pt>
                <c:pt idx="42">
                  <c:v>MAMAAURA</c:v>
                </c:pt>
                <c:pt idx="43">
                  <c:v>Dermoskin</c:v>
                </c:pt>
                <c:pt idx="44">
                  <c:v>Alerma</c:v>
                </c:pt>
                <c:pt idx="45">
                  <c:v>Jaja</c:v>
                </c:pt>
                <c:pt idx="46">
                  <c:v>PXEL</c:v>
                </c:pt>
                <c:pt idx="47">
                  <c:v>DIAMOND HAIR</c:v>
                </c:pt>
                <c:pt idx="48">
                  <c:v>Karseell</c:v>
                </c:pt>
                <c:pt idx="49">
                  <c:v>Bioterra</c:v>
                </c:pt>
                <c:pt idx="50">
                  <c:v>Life Butter</c:v>
                </c:pt>
                <c:pt idx="51">
                  <c:v>INKLINATUR LIFESTYLE &amp; COSMETICS</c:v>
                </c:pt>
                <c:pt idx="52">
                  <c:v>Livray</c:v>
                </c:pt>
                <c:pt idx="53">
                  <c:v>COSMED</c:v>
                </c:pt>
              </c:strCache>
            </c:strRef>
          </c:cat>
          <c:val>
            <c:numRef>
              <c:f>pivot!$I$41:$I$95</c:f>
              <c:numCache>
                <c:formatCode>_([$TRY]\ * #,##0_);_([$TRY]\ * \(#,##0\);_([$TRY]\ * "-"?_);_(@_)</c:formatCode>
                <c:ptCount val="54"/>
                <c:pt idx="0">
                  <c:v>18.193999999999999</c:v>
                </c:pt>
                <c:pt idx="1">
                  <c:v>19.333333333333332</c:v>
                </c:pt>
                <c:pt idx="2">
                  <c:v>23.112500000000001</c:v>
                </c:pt>
                <c:pt idx="3">
                  <c:v>26.580000000000005</c:v>
                </c:pt>
                <c:pt idx="4">
                  <c:v>27.417000000000002</c:v>
                </c:pt>
                <c:pt idx="5">
                  <c:v>29.799999999999997</c:v>
                </c:pt>
                <c:pt idx="6">
                  <c:v>30.0425</c:v>
                </c:pt>
                <c:pt idx="7">
                  <c:v>39.887500000000003</c:v>
                </c:pt>
                <c:pt idx="8">
                  <c:v>44.85</c:v>
                </c:pt>
                <c:pt idx="9">
                  <c:v>54.266666666666673</c:v>
                </c:pt>
                <c:pt idx="10">
                  <c:v>55.98</c:v>
                </c:pt>
                <c:pt idx="11">
                  <c:v>59.259259259259252</c:v>
                </c:pt>
                <c:pt idx="12">
                  <c:v>65.966666666666669</c:v>
                </c:pt>
                <c:pt idx="13">
                  <c:v>66.162946428571431</c:v>
                </c:pt>
                <c:pt idx="14">
                  <c:v>66.633802816901408</c:v>
                </c:pt>
                <c:pt idx="15">
                  <c:v>74.150000000000006</c:v>
                </c:pt>
                <c:pt idx="16">
                  <c:v>75.857142857142861</c:v>
                </c:pt>
                <c:pt idx="17">
                  <c:v>78.285714285714278</c:v>
                </c:pt>
                <c:pt idx="18">
                  <c:v>80</c:v>
                </c:pt>
                <c:pt idx="19">
                  <c:v>81.567499999999995</c:v>
                </c:pt>
                <c:pt idx="20">
                  <c:v>82.307692307692307</c:v>
                </c:pt>
                <c:pt idx="21">
                  <c:v>85.724999999999994</c:v>
                </c:pt>
                <c:pt idx="22">
                  <c:v>86.720666666666673</c:v>
                </c:pt>
                <c:pt idx="23">
                  <c:v>86.912499999999994</c:v>
                </c:pt>
                <c:pt idx="24">
                  <c:v>87.875</c:v>
                </c:pt>
                <c:pt idx="25">
                  <c:v>88.841250000000002</c:v>
                </c:pt>
                <c:pt idx="26">
                  <c:v>91.833333333333329</c:v>
                </c:pt>
                <c:pt idx="27">
                  <c:v>99.75</c:v>
                </c:pt>
                <c:pt idx="28">
                  <c:v>102.67999999999999</c:v>
                </c:pt>
                <c:pt idx="29">
                  <c:v>103.90196078431372</c:v>
                </c:pt>
                <c:pt idx="30">
                  <c:v>114.08750000000001</c:v>
                </c:pt>
                <c:pt idx="31">
                  <c:v>116.75</c:v>
                </c:pt>
                <c:pt idx="32">
                  <c:v>119.6</c:v>
                </c:pt>
                <c:pt idx="33">
                  <c:v>119.7565</c:v>
                </c:pt>
                <c:pt idx="34">
                  <c:v>124.75</c:v>
                </c:pt>
                <c:pt idx="35">
                  <c:v>125</c:v>
                </c:pt>
                <c:pt idx="36">
                  <c:v>127.53000000000002</c:v>
                </c:pt>
                <c:pt idx="37">
                  <c:v>129.97999999999999</c:v>
                </c:pt>
                <c:pt idx="38">
                  <c:v>132.62</c:v>
                </c:pt>
                <c:pt idx="39">
                  <c:v>142.28571428571428</c:v>
                </c:pt>
                <c:pt idx="40">
                  <c:v>143.73000000000002</c:v>
                </c:pt>
                <c:pt idx="41">
                  <c:v>153.29999999999998</c:v>
                </c:pt>
                <c:pt idx="42">
                  <c:v>153.46666666666667</c:v>
                </c:pt>
                <c:pt idx="43">
                  <c:v>157.44999999999999</c:v>
                </c:pt>
                <c:pt idx="44">
                  <c:v>159.60000000000002</c:v>
                </c:pt>
                <c:pt idx="45">
                  <c:v>166.33333333333334</c:v>
                </c:pt>
                <c:pt idx="46">
                  <c:v>170</c:v>
                </c:pt>
                <c:pt idx="47">
                  <c:v>184.24242424242425</c:v>
                </c:pt>
                <c:pt idx="48">
                  <c:v>189.81</c:v>
                </c:pt>
                <c:pt idx="49">
                  <c:v>201.66249999999999</c:v>
                </c:pt>
                <c:pt idx="50">
                  <c:v>219.60000000000002</c:v>
                </c:pt>
                <c:pt idx="51">
                  <c:v>260</c:v>
                </c:pt>
                <c:pt idx="52">
                  <c:v>281.2</c:v>
                </c:pt>
                <c:pt idx="53">
                  <c:v>333.29999999999995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59-49C8-86D6-8D598EDE9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438064"/>
        <c:axId val="30406384"/>
      </c:barChart>
      <c:catAx>
        <c:axId val="3043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06384"/>
        <c:crosses val="autoZero"/>
        <c:auto val="1"/>
        <c:lblAlgn val="ctr"/>
        <c:lblOffset val="100"/>
        <c:noMultiLvlLbl val="0"/>
      </c:catAx>
      <c:valAx>
        <c:axId val="304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TRY]\ * #,##0_);_([$TRY]\ * \(#,##0\);_([$TRY]\ * &quot;-&quot;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F0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0</xdr:row>
      <xdr:rowOff>45720</xdr:rowOff>
    </xdr:from>
    <xdr:to>
      <xdr:col>10</xdr:col>
      <xdr:colOff>411480</xdr:colOff>
      <xdr:row>15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61BB1F-B0D8-D7EB-644C-A64EF86AC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</xdr:colOff>
      <xdr:row>20</xdr:row>
      <xdr:rowOff>175260</xdr:rowOff>
    </xdr:from>
    <xdr:to>
      <xdr:col>13</xdr:col>
      <xdr:colOff>358140</xdr:colOff>
      <xdr:row>35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EF3BAD-CC7A-7FAA-9B9B-495D21C7B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7620</xdr:colOff>
      <xdr:row>38</xdr:row>
      <xdr:rowOff>167640</xdr:rowOff>
    </xdr:from>
    <xdr:to>
      <xdr:col>16</xdr:col>
      <xdr:colOff>312420</xdr:colOff>
      <xdr:row>53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4F3613-9FD0-6804-B712-C22578E12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0</xdr:row>
      <xdr:rowOff>30480</xdr:rowOff>
    </xdr:from>
    <xdr:to>
      <xdr:col>14</xdr:col>
      <xdr:colOff>510540</xdr:colOff>
      <xdr:row>10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F2BC9-5C9C-46E2-AB14-127E62839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137160</xdr:colOff>
      <xdr:row>10</xdr:row>
      <xdr:rowOff>152400</xdr:rowOff>
    </xdr:from>
    <xdr:to>
      <xdr:col>10</xdr:col>
      <xdr:colOff>45720</xdr:colOff>
      <xdr:row>23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6B54F0-8A72-40DB-BC37-16F291DBE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68580</xdr:colOff>
      <xdr:row>10</xdr:row>
      <xdr:rowOff>152400</xdr:rowOff>
    </xdr:from>
    <xdr:to>
      <xdr:col>17</xdr:col>
      <xdr:colOff>373380</xdr:colOff>
      <xdr:row>23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E1E22B-8A2D-4049-80A5-0E29C4C1B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gy ali" refreshedDate="46150.639143171298" createdVersion="8" refreshedVersion="8" minRefreshableVersion="3" recordCount="97" xr:uid="{1610E4F7-C16E-4505-9E67-D03665685DDB}">
  <cacheSource type="worksheet">
    <worksheetSource name="trendyol_final__most_rated_AutoRecovered___2[[brand_name]:[price_100 ml]]"/>
  </cacheSource>
  <cacheFields count="7">
    <cacheField name="brand_name" numFmtId="0">
      <sharedItems count="64">
        <s v="Alerma"/>
        <s v="AXWELL PREMIUM"/>
        <s v="Bioblas"/>
        <s v="Bioterra"/>
        <s v="Blendax"/>
        <s v="Ceremony"/>
        <s v="Clear"/>
        <s v="Columbia"/>
        <s v="COSMED"/>
        <s v="Dermokil"/>
        <s v="Dermoskin"/>
        <s v="Dermoten"/>
        <s v="DIAMOND HAIR"/>
        <s v="DP"/>
        <s v="Duru"/>
        <s v="Elseve"/>
        <s v="Embeauty"/>
        <s v="ENZYM COSMETICS"/>
        <s v="EshLife"/>
        <s v="Gliss"/>
        <s v="HC Care"/>
        <s v="Head &amp; Shoulders"/>
        <s v="Heiluna"/>
        <s v="HELENIE"/>
        <s v="Hunca Care"/>
        <s v="INKLINATUR LIFESTYLE &amp; COSMETICS"/>
        <s v="Insane Naturale"/>
        <s v="ISANA"/>
        <s v="Jaja"/>
        <s v="Karseell"/>
        <s v="Kundal"/>
        <s v="La Rachel"/>
        <s v="Lacinia"/>
        <s v="Lady Beauty"/>
        <s v="Lapien's"/>
        <s v="Laventin"/>
        <s v="Life Butter"/>
        <s v="Livray"/>
        <s v="Luhr Care"/>
        <s v="MAİZA"/>
        <s v="MAMAAURA"/>
        <s v="Mecitefendi"/>
        <s v="Meliboz"/>
        <s v="mineaderm"/>
        <s v="Morfose"/>
        <s v="Muelhens"/>
        <s v="Naturagen"/>
        <s v="Paxe"/>
        <s v="PHGLOWE"/>
        <s v="Pierre Cardin"/>
        <s v="Prozinc"/>
        <s v="PXEL"/>
        <s v="Redist"/>
        <s v="Restorex"/>
        <s v="Revox"/>
        <s v="SantePlus"/>
        <s v="Sistéme 11"/>
        <s v="Softto Plus"/>
        <s v="Swissoderm"/>
        <s v="The Ceel"/>
        <s v="True Bee"/>
        <s v="Visbuen"/>
        <s v="WLab Cosmetics"/>
        <s v="Zigavus"/>
      </sharedItems>
    </cacheField>
    <cacheField name="product_details" numFmtId="0">
      <sharedItems count="97">
        <s v="SulfateFree Purifying Shampoo for Fine and Oily Hair 250ml"/>
        <s v="Moisturizing SulfateFree Shampoo for Dry and Lifeless Hair 250ml"/>
        <s v="Professional Silver Shampoo (AntiOrange Purple Shampoo) 330ml"/>
        <s v="AntiHair Loss + AntiDandruff Shampoo – Zinc, Menthol, Creamy 360ml"/>
        <s v="Botanic Oils Garlic Shampoo 360ml AntiHair Loss, Strengthening"/>
        <s v="Procyanidin &amp; Biotin AntiStress Shampoo for Hair Loss 360ml  AntiHair Loss Shampoo"/>
        <s v="Shampoo 360ml Zinc+menthol 2in1 AntiDandruff Creamy Shampoo"/>
        <s v="Botanic Oils Nettle Organic Olive Oil Shampoo 360ml  Volumizing, AntiHair Loss"/>
        <s v="Organic pH Balance Shampoo 400ml  AntiHair Loss and Thinning Shampoo"/>
        <s v="Nourishing Aloe Vera Extract 500ml Intensive Moisturizing Shampoo Set"/>
        <s v="Garlic Shampoo 400ml | AntiHair Loss Strengthening Argan Keratin"/>
        <s v="Women AntiDandruff Shampoo Herbal Synthesis 350ml "/>
        <s v="Tea Tree Purifying and Balancing Shampoo 400ml"/>
        <s v="SulfateFree Nourishing Daily Care Biotin Shampoo  DAILY PROTECTING SHAMPOO C29ml"/>
        <s v="Shampoo  Healthy Hair Growth Effect (Collagen &amp; Black Garlic) 1 L"/>
        <s v="Keratolytic Shampoo Body Wash | AntiDandruff Shampoo | Hair and Body Shampoo | Hair Care | 200ml"/>
        <s v="Biotin AntiHair Loss Shampoo 400ml"/>
        <s v="Repair Volume Shampoo ."/>
        <s v="Daily Perfection Pine Turpentine Shampoo 800ml"/>
        <s v="Moisture Bomb Anti-Hair Loss Shampoo for Hair Prone to Fallout 400 ml"/>
        <s v="Hydra [Hyaluronic] Pure AntiGreasy Purifying Shampoo with Salicylic Acid 300ml"/>
        <s v="Complete Resistance AntiHair Loss Shampoo 300ml"/>
        <s v="Complete Resistance AntiHair Loss 2in1 Shampoo 360ml"/>
        <s v="Growth Booster AntiHair Loss Shampoo 200ml"/>
        <s v="9 Actives AntiHair Loss Fast Hair Growth &amp; Repair Volumizing Nourishing Shampoo 400ml"/>
        <s v="AntiDandruff Shampoo for Sensitive Scalp and DandruffProne Hair 400ml (saltfree)"/>
        <s v="Hair Care Shampoo for Weak and Falling Hair 400ml (PROCAPIL) (saltfree)"/>
        <s v="Hair Care Shampoo for Dry, Damaged and Chemically Treated Hair 400ml (saltfree)"/>
        <s v="Nourishing and Repairing Herbal Shampoo 400ml – Complete Care – Plumping Effect"/>
        <s v="Full Hair Wonder Shampoo 400 ml"/>
        <s v="Shampoo for Normal and Dry Hair  340ml."/>
        <s v="Volumizing Shampoo  340ml."/>
        <s v="Shampoo for Oily Hair  340ml."/>
        <s v="300ml Shampoo. Deep Cleansing."/>
        <s v="Cleansing &amp; Shining AntiDandruff Shampoo 800ml"/>
        <s v="Deep Cleansing AntiOily 300ml"/>
        <s v="Extra Volume AntiDandruff Shampoo 350ml"/>
        <s v="AntiDandruff Shampoo with Salicylic Acid and Selenite, 400ml"/>
        <s v="AntiHair Loss Care Shampoo with Black Garlic Extract, Collagen and Keratin Enriched 350ml"/>
        <s v="Keratin Complex Shampoo, Nourishing and Repairing, For All Hair Types, 675ml"/>
        <s v="Bi Derm's AntiDandruff and AntiItch Shampoo  Sensitive Scalp Care"/>
        <s v="Purifying and Balancing PURE BALANCE Shampoo for Oily Hair 500ml"/>
        <s v="AntiDandruff Shampoo with Selenium and Salicylic Acid 250ml"/>
        <s v="Water Peppermint and Aventurine AntiDandruff Shampoo 300ml"/>
        <s v="Brown Hair Shampoo 7.0 | 300ml &amp; For Gray Hair"/>
        <s v="Argan Oil Shampoo Deep Repair Maca Extract Moisturizing Shampoo 500ml Karsel"/>
        <s v="AntiBreakage Nourishing Care Shampoo KUNDAL Honey &amp; Macadamia Nature Shampoo 500ml Baby Powder"/>
        <s v="Extra Volumizing Intensive Argan and Keratin Complex Shampoo, SaltFree Special Formula, 250ml"/>
        <s v="5 in 1 Shampoo 400ml"/>
        <s v="Platinum Professional Shampoo"/>
        <s v="Intensive AntiDandruff Shampoo, AntiDandruff, AntiItching and AntiOily Skin 500ml"/>
        <s v="AntiHair Loss Shampoo, Hair Strengthening, Nourishing, Vitamin E, Caffeine, Arginine 500ml"/>
        <s v="SulfateFree SulfateFree Daily Nourishing Moisturizing Shampoo for Dry and Normal Hair 500ml"/>
        <s v="AntiHair Loss Shampoo with 11 Active Ingredients for Hair Falling Out and Slow Growing Hair 400ml"/>
        <s v="2Pack Shampoo for Hair Loss and Slow Hair Growth, and AntiDandruff Eczema Shampoo"/>
        <s v="Vitalizing Anti Dandruff Shampoo  AntiFlax &amp; AntiDandruff Hair Care Shampoo (250ml)"/>
        <s v="AntiHair Loss Shampoo, Nourishing and Repairing Shampoo for Fast Hair Growth"/>
        <s v="Rosemary Mint Strengthening Shampoo 355ml"/>
        <s v="AntiDandruff and AntiItching Shampoo  Purify Me Shampoo 250ml"/>
        <s v="Hydrate Me Moisturizing Care Shampoo 250ml"/>
        <s v="AntiHair Loss Shampoo  Fortify Me Shampoo 250ml"/>
        <s v="Garlic Shampoo (400ml) AntiHair Loss Shampoo Hair Repair Shampoo"/>
        <s v="Garlic Shampoo 400ml"/>
        <s v="Rosemary Shampoo 400ml | AntiHair Loss | Contains Biotin, Keratin and Panthenol"/>
        <s v="AntiOily Dandruff Shampoo for Oily Hair"/>
        <s v="Fast White and Gray Concealer Shampoo 420ml Natural Black"/>
        <s v="D1 Intensive AntiHair Loss Shampoo 200ml  ANTI HAIR LOSS SHAMPOO"/>
        <s v="D1 Anti Hair Loss Shampoo Intensive AntiHair Loss Shampoo 500ml"/>
        <s v="Rosemary Intensive Care Shampoo AntiHair Loss and Promotes Faster Hair Growth"/>
        <s v="Black Hair Shampoo, White Hair Concealer Shampoo, Black Color, 400ml"/>
        <s v="AntiHair Loss Shampoo 390ml"/>
        <s v="Herbal Shampoo For All Hair Types 750ml (For All Hair Types)"/>
        <s v="Women Moisturizing and Volumizing Care Shampoo for Damaged, Processed Hair 300ml"/>
        <s v="Hair Repair Shampoo 400ml"/>
        <s v="AntiHair Loss Shampoo with Garlic for Hair Falling Out and Slow Growing Hair 1000ml"/>
        <s v="GarlicInfused AntiHair Loss Shampoo 500ml  For Hair Loss and Slow Hair Growth"/>
        <s v="Speed ​​Strong Anti-Hair Loss Shampoo 500 ml - With Ivy Extract, Healthy Growth, Anti-Hair Loss"/>
        <s v="Speed ​​&amp; Strong Anti-Hair Loss Shampoo 1000 ml – Powerful Growth &amp; Repair"/>
        <s v="Shampoo  Keratin &amp; Argan Repairing Shampoo 900 ml – Anti-Breakage Strengthening"/>
        <s v="Qenzym Q10 Shampoo 360ml"/>
        <s v="SaltFree Intensive AntiDandruff Shampoo for Oily Hair 250ml (E.GZAMA, S.PSORIASIS)"/>
        <s v="Intensive AntiHair Loss Biotin &amp; Keratin 4v Forte Shampoo 250ml"/>
        <s v="AntiDandruff and AntiHair Loss Shampoo with Protein, Ginseng and Black Garlic 400ml"/>
        <s v="Intensive Repair Shampoo for Damaged Hair 250ml"/>
        <s v="Black Hair NaturalLooking Hair Darkening Instant Gray Hair Concealer Shampoo 350ml"/>
        <s v="Brown Hair Natural Look Dark Brown Hair Shampoo 350ml"/>
        <s v="2Pack Brown Hair Shampoo: The Way to Get Rid of Gray Hair 350ml + 350ml"/>
        <s v="is a hair coloring shampoo for black hair that helps restore gray and white hair to their original color."/>
        <s v="AntiHair Loss Natural Shampoo 300ml | With Biotin, Herbal Extracts, For NormalDry Hair, Supports Hair Growth"/>
        <s v="AntiHair Loss Natural Shampoo 300ml | With Biotin, Herbal Extracts, For Oily Hair, Supports Hair Growth"/>
        <s v="Rosemary Hair Care Shampoo | Keratin, Biotin, Hydrolyzed Collagen Extract 250ml"/>
        <s v="Daily Dream Series | 2Pack Rosemary Shampoo with Hair Root Strengthening Effect 400ml"/>
        <s v="Daily Dream Series | Rosemary Shampoo with Hair Root Strengthening Effect 400ml"/>
        <s v="Zinc Biotin 16 Natural Actives AntiDandruff Care Shampoo"/>
        <s v="Oleic Acid 14 Natural Actives Repairing Care Shampoo for Damaged and Treated Hair OA"/>
        <s v="AntiHair Loss Shampoo 400ml"/>
        <s v="Pomegranate Shampoo for Fast Hair Growth, Repairing Care for Damaged Hair 450ml"/>
      </sharedItems>
    </cacheField>
    <cacheField name="price" numFmtId="164">
      <sharedItems containsSemiMixedTypes="0" containsString="0" containsNumber="1" minValue="120.17" maxValue="999.9" count="88">
        <n v="399"/>
        <n v="303.05"/>
        <n v="162.74"/>
        <n v="140"/>
        <n v="144.66999999999999"/>
        <n v="199.99"/>
        <n v="159.9"/>
        <n v="806.65"/>
        <n v="149"/>
        <n v="223.92"/>
        <n v="274"/>
        <n v="999.9"/>
        <n v="181.94"/>
        <n v="314.89999999999998"/>
        <n v="326.27"/>
        <n v="608"/>
        <n v="184.9"/>
        <n v="159.55000000000001"/>
        <n v="190.38"/>
        <n v="167.94"/>
        <n v="279.89999999999998"/>
        <n v="316.35000000000002"/>
        <n v="347.65"/>
        <n v="230.2"/>
        <n v="284.10000000000002"/>
        <n v="136.9"/>
        <n v="342.9"/>
        <n v="120.17"/>
        <n v="347.9"/>
        <n v="364"/>
        <n v="178.5"/>
        <n v="367.5"/>
        <n v="349"/>
        <n v="510.12"/>
        <n v="498"/>
        <n v="400"/>
        <n v="650"/>
        <n v="449.1"/>
        <n v="494.1"/>
        <n v="197.9"/>
        <n v="499"/>
        <n v="949.05"/>
        <n v="513.4"/>
        <n v="331.55"/>
        <n v="456.35"/>
        <n v="299"/>
        <n v="482.46"/>
        <n v="468.35"/>
        <n v="350"/>
        <n v="467"/>
        <n v="549"/>
        <n v="703"/>
        <n v="236.55"/>
        <n v="363"/>
        <n v="389"/>
        <n v="319.2"/>
        <n v="320"/>
        <n v="375"/>
        <n v="318.60000000000002"/>
        <n v="312.55"/>
        <n v="416.19"/>
        <n v="519.91999999999996"/>
        <n v="351.5"/>
        <n v="321"/>
        <n v="145"/>
        <n v="459.9"/>
        <n v="680"/>
        <n v="252.34"/>
        <n v="148"/>
        <n v="132.9"/>
        <n v="194.66"/>
        <n v="249"/>
        <n v="394.9"/>
        <n v="577.9"/>
        <n v="477.9"/>
        <n v="426.9"/>
        <n v="426.54"/>
        <n v="379"/>
        <n v="536.41"/>
        <n v="449"/>
        <n v="582"/>
        <n v="580"/>
        <n v="419"/>
        <n v="473.3"/>
        <n v="199.08"/>
        <n v="501.93"/>
        <n v="492.23"/>
        <n v="399.9"/>
      </sharedItems>
    </cacheField>
    <cacheField name="product_size" numFmtId="0">
      <sharedItems containsSemiMixedTypes="0" containsString="0" containsNumber="1" containsInteger="1" minValue="200" maxValue="1000"/>
    </cacheField>
    <cacheField name="reviews_count" numFmtId="0">
      <sharedItems containsSemiMixedTypes="0" containsString="0" containsNumber="1" containsInteger="1" minValue="20" maxValue="75277" count="90">
        <n v="418"/>
        <n v="258"/>
        <n v="380"/>
        <n v="1245"/>
        <n v="1042"/>
        <n v="564"/>
        <n v="160"/>
        <n v="139"/>
        <n v="180"/>
        <n v="112"/>
        <n v="361"/>
        <n v="261"/>
        <n v="1447"/>
        <n v="253"/>
        <n v="150"/>
        <n v="148"/>
        <n v="447"/>
        <n v="156"/>
        <n v="2270"/>
        <n v="20"/>
        <n v="2950"/>
        <n v="1131"/>
        <n v="303"/>
        <n v="171"/>
        <n v="75277"/>
        <n v="735"/>
        <n v="254"/>
        <n v="198"/>
        <n v="149"/>
        <n v="275"/>
        <n v="2509"/>
        <n v="1695"/>
        <n v="1375"/>
        <n v="441"/>
        <n v="285"/>
        <n v="179"/>
        <n v="142"/>
        <n v="260"/>
        <n v="190"/>
        <n v="283"/>
        <n v="459"/>
        <n v="151"/>
        <n v="164"/>
        <n v="436"/>
        <n v="144"/>
        <n v="145"/>
        <n v="719"/>
        <n v="314"/>
        <n v="193"/>
        <n v="184"/>
        <n v="137"/>
        <n v="8325"/>
        <n v="181"/>
        <n v="158"/>
        <n v="227"/>
        <n v="2818"/>
        <n v="2172"/>
        <n v="838"/>
        <n v="173"/>
        <n v="147"/>
        <n v="269"/>
        <n v="296"/>
        <n v="298"/>
        <n v="231"/>
        <n v="166"/>
        <n v="196"/>
        <n v="169"/>
        <n v="195"/>
        <n v="188"/>
        <n v="570"/>
        <n v="1354"/>
        <n v="2134"/>
        <n v="797"/>
        <n v="206"/>
        <n v="143"/>
        <n v="3128"/>
        <n v="712"/>
        <n v="477"/>
        <n v="479"/>
        <n v="1590"/>
        <n v="907"/>
        <n v="5420"/>
        <n v="2059"/>
        <n v="4933"/>
        <n v="1410"/>
        <n v="1147"/>
        <n v="252"/>
        <n v="186"/>
        <n v="197"/>
        <n v="228"/>
      </sharedItems>
    </cacheField>
    <cacheField name="rating" numFmtId="0">
      <sharedItems containsSemiMixedTypes="0" containsString="0" containsNumber="1" minValue="4" maxValue="5"/>
    </cacheField>
    <cacheField name="price_100 ml" numFmtId="164">
      <sharedItems containsSemiMixedTypes="0" containsString="0" containsNumber="1" minValue="18.193999999999999" maxValue="333.29999999999995"/>
    </cacheField>
  </cacheFields>
  <extLst>
    <ext xmlns:x14="http://schemas.microsoft.com/office/spreadsheetml/2009/9/main" uri="{725AE2AE-9491-48be-B2B4-4EB974FC3084}">
      <x14:pivotCacheDefinition pivotCacheId="43697043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gy ali" refreshedDate="46150.643658680558" createdVersion="8" refreshedVersion="8" minRefreshableVersion="3" recordCount="77" xr:uid="{3B4E332A-B452-4772-9B45-8A79DCA94B8E}">
  <cacheSource type="worksheet">
    <worksheetSource ref="A1:H78" sheet="trendyol_final"/>
  </cacheSource>
  <cacheFields count="8">
    <cacheField name="product_ID" numFmtId="0">
      <sharedItems containsSemiMixedTypes="0" containsString="0" containsNumber="1" containsInteger="1" minValue="1" maxValue="116"/>
    </cacheField>
    <cacheField name="brand_name" numFmtId="0">
      <sharedItems count="54">
        <s v="Alerma"/>
        <s v="AXWELL PREMIUM"/>
        <s v="Bioblas"/>
        <s v="Bioterra"/>
        <s v="Blendax"/>
        <s v="Ceremony"/>
        <s v="Clear"/>
        <s v="Columbia"/>
        <s v="COSMED"/>
        <s v="Dermokil"/>
        <s v="Dermoskin"/>
        <s v="Dermoten"/>
        <s v="DIAMOND HAIR"/>
        <s v="DP"/>
        <s v="Duru"/>
        <s v="Elseve"/>
        <s v="Embeauty"/>
        <s v="ENZYM COSMETICS"/>
        <s v="EshLife"/>
        <s v="Gliss"/>
        <s v="HC Care"/>
        <s v="Head &amp; Shoulders"/>
        <s v="Heiluna"/>
        <s v="HELENIE"/>
        <s v="Hunca Care"/>
        <s v="INKLINATUR LIFESTYLE &amp; COSMETICS"/>
        <s v="Insane Naturale"/>
        <s v="ISANA"/>
        <s v="Jaja"/>
        <s v="Karseell"/>
        <s v="Kundal"/>
        <s v="La Rachel"/>
        <s v="Lacinia"/>
        <s v="Lady Beauty"/>
        <s v="Lapien's"/>
        <s v="Laventin"/>
        <s v="Life Butter"/>
        <s v="Livray"/>
        <s v="Luhr Care"/>
        <s v="MAİZA"/>
        <s v="MAMAAURA"/>
        <s v="Mecitefendi"/>
        <s v="Meliboz"/>
        <s v="mineaderm"/>
        <s v="Morfose"/>
        <s v="Muelhens"/>
        <s v="Naturagen"/>
        <s v="Paxe"/>
        <s v="PHGLOWE"/>
        <s v="Pierre Cardin"/>
        <s v="Prozinc"/>
        <s v="PXEL"/>
        <s v="Redist"/>
        <s v="Restorex"/>
      </sharedItems>
    </cacheField>
    <cacheField name="product_details" numFmtId="0">
      <sharedItems/>
    </cacheField>
    <cacheField name="price" numFmtId="164">
      <sharedItems containsSemiMixedTypes="0" containsString="0" containsNumber="1" minValue="120.17" maxValue="999.9"/>
    </cacheField>
    <cacheField name="product_size" numFmtId="0">
      <sharedItems containsSemiMixedTypes="0" containsString="0" containsNumber="1" containsInteger="1" minValue="200" maxValue="1000"/>
    </cacheField>
    <cacheField name="reviews_count" numFmtId="0">
      <sharedItems containsSemiMixedTypes="0" containsString="0" containsNumber="1" containsInteger="1" minValue="20" maxValue="75277"/>
    </cacheField>
    <cacheField name="rating" numFmtId="0">
      <sharedItems containsSemiMixedTypes="0" containsString="0" containsNumber="1" minValue="4" maxValue="5"/>
    </cacheField>
    <cacheField name="price_100 ml" numFmtId="164">
      <sharedItems containsSemiMixedTypes="0" containsString="0" containsNumber="1" minValue="18.193999999999999" maxValue="333.2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x v="0"/>
    <x v="0"/>
    <x v="0"/>
    <n v="250"/>
    <x v="0"/>
    <n v="4.2"/>
    <n v="159.60000000000002"/>
  </r>
  <r>
    <x v="0"/>
    <x v="1"/>
    <x v="0"/>
    <n v="250"/>
    <x v="1"/>
    <n v="4.2"/>
    <n v="159.60000000000002"/>
  </r>
  <r>
    <x v="1"/>
    <x v="2"/>
    <x v="1"/>
    <n v="330"/>
    <x v="2"/>
    <n v="4.3"/>
    <n v="91.833333333333329"/>
  </r>
  <r>
    <x v="2"/>
    <x v="3"/>
    <x v="2"/>
    <n v="360"/>
    <x v="3"/>
    <n v="4.5"/>
    <n v="45.205555555555563"/>
  </r>
  <r>
    <x v="2"/>
    <x v="4"/>
    <x v="3"/>
    <n v="360"/>
    <x v="4"/>
    <n v="4.5999999999999996"/>
    <n v="38.888888888888893"/>
  </r>
  <r>
    <x v="2"/>
    <x v="5"/>
    <x v="4"/>
    <n v="360"/>
    <x v="5"/>
    <n v="4.5"/>
    <n v="40.186111111111103"/>
  </r>
  <r>
    <x v="2"/>
    <x v="6"/>
    <x v="5"/>
    <n v="360"/>
    <x v="6"/>
    <n v="4.4000000000000004"/>
    <n v="55.552777777777784"/>
  </r>
  <r>
    <x v="2"/>
    <x v="7"/>
    <x v="6"/>
    <n v="360"/>
    <x v="7"/>
    <n v="4.5"/>
    <n v="44.416666666666671"/>
  </r>
  <r>
    <x v="3"/>
    <x v="8"/>
    <x v="7"/>
    <n v="400"/>
    <x v="8"/>
    <n v="4.0999999999999996"/>
    <n v="201.66249999999999"/>
  </r>
  <r>
    <x v="4"/>
    <x v="9"/>
    <x v="8"/>
    <n v="500"/>
    <x v="9"/>
    <n v="4.5999999999999996"/>
    <n v="29.799999999999997"/>
  </r>
  <r>
    <x v="5"/>
    <x v="10"/>
    <x v="9"/>
    <n v="400"/>
    <x v="10"/>
    <n v="4.8"/>
    <n v="55.98"/>
  </r>
  <r>
    <x v="6"/>
    <x v="11"/>
    <x v="10"/>
    <n v="350"/>
    <x v="11"/>
    <n v="4.7"/>
    <n v="78.285714285714278"/>
  </r>
  <r>
    <x v="7"/>
    <x v="12"/>
    <x v="0"/>
    <n v="400"/>
    <x v="12"/>
    <n v="4.2"/>
    <n v="99.75"/>
  </r>
  <r>
    <x v="8"/>
    <x v="13"/>
    <x v="11"/>
    <n v="300"/>
    <x v="13"/>
    <n v="4.3"/>
    <n v="333.29999999999995"/>
  </r>
  <r>
    <x v="9"/>
    <x v="14"/>
    <x v="12"/>
    <n v="1000"/>
    <x v="14"/>
    <n v="4.2"/>
    <n v="18.193999999999999"/>
  </r>
  <r>
    <x v="10"/>
    <x v="15"/>
    <x v="13"/>
    <n v="200"/>
    <x v="15"/>
    <n v="4.0999999999999996"/>
    <n v="157.44999999999999"/>
  </r>
  <r>
    <x v="11"/>
    <x v="16"/>
    <x v="14"/>
    <n v="400"/>
    <x v="16"/>
    <n v="4.7"/>
    <n v="81.567499999999995"/>
  </r>
  <r>
    <x v="12"/>
    <x v="17"/>
    <x v="15"/>
    <n v="330"/>
    <x v="17"/>
    <n v="4.2"/>
    <n v="184.24242424242425"/>
  </r>
  <r>
    <x v="13"/>
    <x v="18"/>
    <x v="16"/>
    <n v="800"/>
    <x v="18"/>
    <n v="4.5"/>
    <n v="23.112500000000001"/>
  </r>
  <r>
    <x v="14"/>
    <x v="19"/>
    <x v="17"/>
    <n v="400"/>
    <x v="19"/>
    <n v="4.7"/>
    <n v="39.887500000000003"/>
  </r>
  <r>
    <x v="15"/>
    <x v="20"/>
    <x v="18"/>
    <n v="300"/>
    <x v="20"/>
    <n v="4.4000000000000004"/>
    <n v="63.459999999999994"/>
  </r>
  <r>
    <x v="15"/>
    <x v="21"/>
    <x v="19"/>
    <n v="300"/>
    <x v="21"/>
    <n v="4.5999999999999996"/>
    <n v="55.98"/>
  </r>
  <r>
    <x v="15"/>
    <x v="22"/>
    <x v="20"/>
    <n v="360"/>
    <x v="22"/>
    <n v="4.5999999999999996"/>
    <n v="77.75"/>
  </r>
  <r>
    <x v="15"/>
    <x v="23"/>
    <x v="21"/>
    <n v="200"/>
    <x v="23"/>
    <n v="4.5"/>
    <n v="158.17500000000001"/>
  </r>
  <r>
    <x v="16"/>
    <x v="24"/>
    <x v="22"/>
    <n v="400"/>
    <x v="24"/>
    <n v="4.0999999999999996"/>
    <n v="86.912499999999994"/>
  </r>
  <r>
    <x v="17"/>
    <x v="25"/>
    <x v="23"/>
    <n v="400"/>
    <x v="25"/>
    <n v="4.0999999999999996"/>
    <n v="57.550000000000004"/>
  </r>
  <r>
    <x v="17"/>
    <x v="26"/>
    <x v="24"/>
    <n v="400"/>
    <x v="26"/>
    <n v="4.0999999999999996"/>
    <n v="71.025000000000006"/>
  </r>
  <r>
    <x v="17"/>
    <x v="27"/>
    <x v="25"/>
    <n v="400"/>
    <x v="27"/>
    <n v="4.5"/>
    <n v="34.225000000000001"/>
  </r>
  <r>
    <x v="18"/>
    <x v="28"/>
    <x v="26"/>
    <n v="400"/>
    <x v="28"/>
    <n v="5"/>
    <n v="85.724999999999994"/>
  </r>
  <r>
    <x v="19"/>
    <x v="29"/>
    <x v="27"/>
    <n v="400"/>
    <x v="29"/>
    <n v="4.5999999999999996"/>
    <n v="30.0425"/>
  </r>
  <r>
    <x v="20"/>
    <x v="30"/>
    <x v="28"/>
    <n v="340"/>
    <x v="30"/>
    <n v="4.5999999999999996"/>
    <n v="102.3235294117647"/>
  </r>
  <r>
    <x v="20"/>
    <x v="31"/>
    <x v="29"/>
    <n v="340"/>
    <x v="31"/>
    <n v="4.5999999999999996"/>
    <n v="107.05882352941177"/>
  </r>
  <r>
    <x v="20"/>
    <x v="32"/>
    <x v="28"/>
    <n v="340"/>
    <x v="32"/>
    <n v="4.3"/>
    <n v="102.3235294117647"/>
  </r>
  <r>
    <x v="21"/>
    <x v="33"/>
    <x v="30"/>
    <n v="300"/>
    <x v="33"/>
    <n v="4.5"/>
    <n v="59.5"/>
  </r>
  <r>
    <x v="21"/>
    <x v="34"/>
    <x v="31"/>
    <n v="800"/>
    <x v="34"/>
    <n v="4.5999999999999996"/>
    <n v="45.9375"/>
  </r>
  <r>
    <x v="21"/>
    <x v="35"/>
    <x v="30"/>
    <n v="300"/>
    <x v="35"/>
    <n v="4.4000000000000004"/>
    <n v="59.5"/>
  </r>
  <r>
    <x v="21"/>
    <x v="36"/>
    <x v="32"/>
    <n v="350"/>
    <x v="7"/>
    <n v="4.5"/>
    <n v="99.714285714285708"/>
  </r>
  <r>
    <x v="22"/>
    <x v="37"/>
    <x v="33"/>
    <n v="400"/>
    <x v="36"/>
    <n v="4.5999999999999996"/>
    <n v="127.53000000000002"/>
  </r>
  <r>
    <x v="23"/>
    <x v="38"/>
    <x v="34"/>
    <n v="350"/>
    <x v="37"/>
    <n v="4.9000000000000004"/>
    <n v="142.28571428571428"/>
  </r>
  <r>
    <x v="24"/>
    <x v="39"/>
    <x v="35"/>
    <n v="675"/>
    <x v="38"/>
    <n v="4.4000000000000004"/>
    <n v="59.259259259259252"/>
  </r>
  <r>
    <x v="25"/>
    <x v="40"/>
    <x v="36"/>
    <n v="250"/>
    <x v="39"/>
    <n v="4.5999999999999996"/>
    <n v="260"/>
  </r>
  <r>
    <x v="26"/>
    <x v="41"/>
    <x v="37"/>
    <n v="500"/>
    <x v="40"/>
    <n v="4.8"/>
    <n v="89.82"/>
  </r>
  <r>
    <x v="26"/>
    <x v="42"/>
    <x v="38"/>
    <n v="250"/>
    <x v="41"/>
    <n v="4.8"/>
    <n v="197.64000000000001"/>
  </r>
  <r>
    <x v="27"/>
    <x v="43"/>
    <x v="39"/>
    <n v="300"/>
    <x v="42"/>
    <n v="4.3"/>
    <n v="65.966666666666669"/>
  </r>
  <r>
    <x v="28"/>
    <x v="44"/>
    <x v="40"/>
    <n v="300"/>
    <x v="43"/>
    <n v="4.0999999999999996"/>
    <n v="166.33333333333334"/>
  </r>
  <r>
    <x v="29"/>
    <x v="45"/>
    <x v="41"/>
    <n v="500"/>
    <x v="44"/>
    <n v="4.5"/>
    <n v="189.81"/>
  </r>
  <r>
    <x v="30"/>
    <x v="46"/>
    <x v="42"/>
    <n v="500"/>
    <x v="45"/>
    <n v="4.5"/>
    <n v="102.67999999999999"/>
  </r>
  <r>
    <x v="31"/>
    <x v="47"/>
    <x v="43"/>
    <n v="250"/>
    <x v="46"/>
    <n v="4.4000000000000004"/>
    <n v="132.62"/>
  </r>
  <r>
    <x v="32"/>
    <x v="48"/>
    <x v="44"/>
    <n v="400"/>
    <x v="7"/>
    <n v="4.9000000000000004"/>
    <n v="114.08750000000001"/>
  </r>
  <r>
    <x v="33"/>
    <x v="49"/>
    <x v="45"/>
    <n v="250"/>
    <x v="47"/>
    <n v="4.2"/>
    <n v="119.6"/>
  </r>
  <r>
    <x v="34"/>
    <x v="50"/>
    <x v="46"/>
    <n v="500"/>
    <x v="48"/>
    <n v="4.9000000000000004"/>
    <n v="96.492000000000004"/>
  </r>
  <r>
    <x v="34"/>
    <x v="51"/>
    <x v="47"/>
    <n v="500"/>
    <x v="49"/>
    <n v="4.9000000000000004"/>
    <n v="93.670000000000016"/>
  </r>
  <r>
    <x v="34"/>
    <x v="52"/>
    <x v="48"/>
    <n v="500"/>
    <x v="50"/>
    <n v="4.8"/>
    <n v="70"/>
  </r>
  <r>
    <x v="35"/>
    <x v="53"/>
    <x v="49"/>
    <n v="400"/>
    <x v="51"/>
    <n v="4"/>
    <n v="116.75"/>
  </r>
  <r>
    <x v="36"/>
    <x v="54"/>
    <x v="50"/>
    <n v="250"/>
    <x v="52"/>
    <n v="4.3"/>
    <n v="219.60000000000002"/>
  </r>
  <r>
    <x v="37"/>
    <x v="55"/>
    <x v="51"/>
    <n v="250"/>
    <x v="6"/>
    <n v="5"/>
    <n v="281.2"/>
  </r>
  <r>
    <x v="38"/>
    <x v="56"/>
    <x v="40"/>
    <n v="400"/>
    <x v="53"/>
    <n v="4.2"/>
    <n v="124.75"/>
  </r>
  <r>
    <x v="39"/>
    <x v="57"/>
    <x v="52"/>
    <n v="355"/>
    <x v="54"/>
    <n v="4.2"/>
    <n v="66.633802816901408"/>
  </r>
  <r>
    <x v="40"/>
    <x v="58"/>
    <x v="53"/>
    <n v="250"/>
    <x v="55"/>
    <n v="4.5"/>
    <n v="145.19999999999999"/>
  </r>
  <r>
    <x v="40"/>
    <x v="59"/>
    <x v="54"/>
    <n v="250"/>
    <x v="56"/>
    <n v="4.5999999999999996"/>
    <n v="155.6"/>
  </r>
  <r>
    <x v="40"/>
    <x v="60"/>
    <x v="0"/>
    <n v="250"/>
    <x v="57"/>
    <n v="4.5"/>
    <n v="159.60000000000002"/>
  </r>
  <r>
    <x v="41"/>
    <x v="61"/>
    <x v="55"/>
    <n v="400"/>
    <x v="58"/>
    <n v="4.5"/>
    <n v="79.8"/>
  </r>
  <r>
    <x v="41"/>
    <x v="62"/>
    <x v="10"/>
    <n v="400"/>
    <x v="59"/>
    <n v="4.4000000000000004"/>
    <n v="68.5"/>
  </r>
  <r>
    <x v="42"/>
    <x v="63"/>
    <x v="56"/>
    <n v="400"/>
    <x v="60"/>
    <n v="4.5"/>
    <n v="80"/>
  </r>
  <r>
    <x v="43"/>
    <x v="64"/>
    <x v="57"/>
    <n v="300"/>
    <x v="61"/>
    <n v="4.3"/>
    <n v="125"/>
  </r>
  <r>
    <x v="44"/>
    <x v="65"/>
    <x v="58"/>
    <n v="420"/>
    <x v="62"/>
    <n v="4.2"/>
    <n v="75.857142857142861"/>
  </r>
  <r>
    <x v="45"/>
    <x v="66"/>
    <x v="59"/>
    <n v="200"/>
    <x v="63"/>
    <n v="4.9000000000000004"/>
    <n v="156.27500000000001"/>
  </r>
  <r>
    <x v="45"/>
    <x v="67"/>
    <x v="60"/>
    <n v="500"/>
    <x v="64"/>
    <n v="4.8"/>
    <n v="83.238"/>
  </r>
  <r>
    <x v="46"/>
    <x v="68"/>
    <x v="61"/>
    <n v="400"/>
    <x v="65"/>
    <n v="4.4000000000000004"/>
    <n v="129.97999999999999"/>
  </r>
  <r>
    <x v="47"/>
    <x v="69"/>
    <x v="62"/>
    <n v="400"/>
    <x v="66"/>
    <n v="4.3"/>
    <n v="87.875"/>
  </r>
  <r>
    <x v="48"/>
    <x v="70"/>
    <x v="63"/>
    <n v="390"/>
    <x v="67"/>
    <n v="4.5"/>
    <n v="82.307692307692307"/>
  </r>
  <r>
    <x v="49"/>
    <x v="71"/>
    <x v="64"/>
    <n v="750"/>
    <x v="11"/>
    <n v="4.4000000000000004"/>
    <n v="19.333333333333332"/>
  </r>
  <r>
    <x v="50"/>
    <x v="72"/>
    <x v="65"/>
    <n v="300"/>
    <x v="68"/>
    <n v="4.5999999999999996"/>
    <n v="153.29999999999998"/>
  </r>
  <r>
    <x v="51"/>
    <x v="73"/>
    <x v="66"/>
    <n v="400"/>
    <x v="69"/>
    <n v="4.9000000000000004"/>
    <n v="170"/>
  </r>
  <r>
    <x v="52"/>
    <x v="74"/>
    <x v="67"/>
    <n v="1000"/>
    <x v="70"/>
    <n v="4.5999999999999996"/>
    <n v="25.234000000000002"/>
  </r>
  <r>
    <x v="52"/>
    <x v="75"/>
    <x v="68"/>
    <n v="500"/>
    <x v="15"/>
    <n v="4.5"/>
    <n v="29.599999999999998"/>
  </r>
  <r>
    <x v="53"/>
    <x v="76"/>
    <x v="69"/>
    <n v="500"/>
    <x v="71"/>
    <n v="4.4000000000000004"/>
    <n v="26.580000000000005"/>
  </r>
  <r>
    <x v="53"/>
    <x v="77"/>
    <x v="70"/>
    <n v="1000"/>
    <x v="72"/>
    <n v="4.4000000000000004"/>
    <n v="19.466000000000001"/>
  </r>
  <r>
    <x v="53"/>
    <x v="78"/>
    <x v="71"/>
    <n v="900"/>
    <x v="73"/>
    <n v="4.5"/>
    <n v="27.666666666666668"/>
  </r>
  <r>
    <x v="54"/>
    <x v="79"/>
    <x v="72"/>
    <n v="360"/>
    <x v="74"/>
    <n v="4.5"/>
    <n v="109.69444444444443"/>
  </r>
  <r>
    <x v="55"/>
    <x v="80"/>
    <x v="73"/>
    <n v="250"/>
    <x v="75"/>
    <n v="4.4000000000000004"/>
    <n v="231.16"/>
  </r>
  <r>
    <x v="55"/>
    <x v="81"/>
    <x v="74"/>
    <n v="250"/>
    <x v="76"/>
    <n v="4.8"/>
    <n v="191.16"/>
  </r>
  <r>
    <x v="55"/>
    <x v="82"/>
    <x v="75"/>
    <n v="400"/>
    <x v="77"/>
    <n v="4.7"/>
    <n v="106.72500000000001"/>
  </r>
  <r>
    <x v="56"/>
    <x v="83"/>
    <x v="76"/>
    <n v="250"/>
    <x v="78"/>
    <n v="4.9000000000000004"/>
    <n v="170.61600000000001"/>
  </r>
  <r>
    <x v="57"/>
    <x v="84"/>
    <x v="0"/>
    <n v="350"/>
    <x v="79"/>
    <n v="4.3"/>
    <n v="113.99999999999999"/>
  </r>
  <r>
    <x v="57"/>
    <x v="85"/>
    <x v="77"/>
    <n v="350"/>
    <x v="80"/>
    <n v="4.3"/>
    <n v="108.28571428571429"/>
  </r>
  <r>
    <x v="57"/>
    <x v="86"/>
    <x v="78"/>
    <n v="350"/>
    <x v="38"/>
    <n v="4.4000000000000004"/>
    <n v="153.26"/>
  </r>
  <r>
    <x v="57"/>
    <x v="87"/>
    <x v="79"/>
    <n v="350"/>
    <x v="41"/>
    <n v="4.3"/>
    <n v="128.28571428571428"/>
  </r>
  <r>
    <x v="58"/>
    <x v="88"/>
    <x v="80"/>
    <n v="300"/>
    <x v="81"/>
    <n v="4.4000000000000004"/>
    <n v="194"/>
  </r>
  <r>
    <x v="58"/>
    <x v="89"/>
    <x v="81"/>
    <n v="300"/>
    <x v="82"/>
    <n v="4.3"/>
    <n v="193.33333333333334"/>
  </r>
  <r>
    <x v="59"/>
    <x v="90"/>
    <x v="82"/>
    <n v="250"/>
    <x v="83"/>
    <n v="4.3"/>
    <n v="167.6"/>
  </r>
  <r>
    <x v="60"/>
    <x v="91"/>
    <x v="83"/>
    <n v="400"/>
    <x v="84"/>
    <n v="4.3"/>
    <n v="118.32500000000002"/>
  </r>
  <r>
    <x v="60"/>
    <x v="92"/>
    <x v="84"/>
    <n v="400"/>
    <x v="85"/>
    <n v="4.3"/>
    <n v="49.77"/>
  </r>
  <r>
    <x v="61"/>
    <x v="93"/>
    <x v="85"/>
    <n v="500"/>
    <x v="86"/>
    <n v="4.7"/>
    <n v="100.386"/>
  </r>
  <r>
    <x v="61"/>
    <x v="94"/>
    <x v="86"/>
    <n v="500"/>
    <x v="87"/>
    <n v="4.8"/>
    <n v="98.445999999999998"/>
  </r>
  <r>
    <x v="62"/>
    <x v="95"/>
    <x v="87"/>
    <n v="400"/>
    <x v="88"/>
    <n v="4.4000000000000004"/>
    <n v="99.974999999999994"/>
  </r>
  <r>
    <x v="63"/>
    <x v="96"/>
    <x v="40"/>
    <n v="450"/>
    <x v="89"/>
    <n v="4.8"/>
    <n v="110.8888888888888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n v="41"/>
    <x v="0"/>
    <s v="SulfateFree Purifying Shampoo for Fine and Oily Hair 250ml"/>
    <n v="399"/>
    <n v="250"/>
    <n v="418"/>
    <n v="4.2"/>
    <n v="159.60000000000002"/>
  </r>
  <r>
    <n v="65"/>
    <x v="0"/>
    <s v="Moisturizing SulfateFree Shampoo for Dry and Lifeless Hair 250ml"/>
    <n v="399"/>
    <n v="250"/>
    <n v="258"/>
    <n v="4.2"/>
    <n v="159.60000000000002"/>
  </r>
  <r>
    <n v="43"/>
    <x v="1"/>
    <s v="Professional Silver Shampoo (AntiOrange Purple Shampoo) 330ml"/>
    <n v="303.05"/>
    <n v="330"/>
    <n v="380"/>
    <n v="4.3"/>
    <n v="91.833333333333329"/>
  </r>
  <r>
    <n v="19"/>
    <x v="2"/>
    <s v="AntiHair Loss + AntiDandruff Shampoo – Zinc, Menthol, Creamy 360ml"/>
    <n v="162.74"/>
    <n v="360"/>
    <n v="1245"/>
    <n v="4.5"/>
    <n v="45.205555555555563"/>
  </r>
  <r>
    <n v="23"/>
    <x v="2"/>
    <s v="Botanic Oils Garlic Shampoo 360ml AntiHair Loss, Strengthening"/>
    <n v="140"/>
    <n v="360"/>
    <n v="1042"/>
    <n v="4.5999999999999996"/>
    <n v="38.888888888888893"/>
  </r>
  <r>
    <n v="33"/>
    <x v="2"/>
    <s v="Procyanidin &amp; Biotin AntiStress Shampoo for Hair Loss 360ml  AntiHair Loss Shampoo"/>
    <n v="144.66999999999999"/>
    <n v="360"/>
    <n v="564"/>
    <n v="4.5"/>
    <n v="40.186111111111103"/>
  </r>
  <r>
    <n v="94"/>
    <x v="2"/>
    <s v="Shampoo 360ml Zinc+menthol 2in1 AntiDandruff Creamy Shampoo"/>
    <n v="199.99"/>
    <n v="360"/>
    <n v="160"/>
    <n v="4.4000000000000004"/>
    <n v="55.552777777777784"/>
  </r>
  <r>
    <n v="113"/>
    <x v="2"/>
    <s v="Botanic Oils Nettle Organic Olive Oil Shampoo 360ml  Volumizing, AntiHair Loss"/>
    <n v="159.9"/>
    <n v="360"/>
    <n v="139"/>
    <n v="4.5"/>
    <n v="44.416666666666671"/>
  </r>
  <r>
    <n v="86"/>
    <x v="3"/>
    <s v="Organic pH Balance Shampoo 400ml  AntiHair Loss and Thinning Shampoo"/>
    <n v="806.65"/>
    <n v="400"/>
    <n v="180"/>
    <n v="4.0999999999999996"/>
    <n v="201.66249999999999"/>
  </r>
  <r>
    <n v="101"/>
    <x v="4"/>
    <s v="Nourishing Aloe Vera Extract 500ml Intensive Moisturizing Shampoo Set"/>
    <n v="149"/>
    <n v="500"/>
    <n v="112"/>
    <n v="4.5999999999999996"/>
    <n v="29.799999999999997"/>
  </r>
  <r>
    <n v="44"/>
    <x v="5"/>
    <s v="Garlic Shampoo 400ml | AntiHair Loss Strengthening Argan Keratin"/>
    <n v="223.92"/>
    <n v="400"/>
    <n v="361"/>
    <n v="4.8"/>
    <n v="55.98"/>
  </r>
  <r>
    <n v="61"/>
    <x v="6"/>
    <s v="Women AntiDandruff Shampoo Herbal Synthesis 350ml "/>
    <n v="274"/>
    <n v="350"/>
    <n v="261"/>
    <n v="4.7"/>
    <n v="78.285714285714278"/>
  </r>
  <r>
    <n v="15"/>
    <x v="7"/>
    <s v="Tea Tree Purifying and Balancing Shampoo 400ml"/>
    <n v="399"/>
    <n v="400"/>
    <n v="1447"/>
    <n v="4.2"/>
    <n v="99.75"/>
  </r>
  <r>
    <n v="88"/>
    <x v="8"/>
    <s v="SulfateFree Nourishing Daily Care Biotin Shampoo  DAILY PROTECTING SHAMPOO C29ml"/>
    <n v="999.9"/>
    <n v="300"/>
    <n v="253"/>
    <n v="4.3"/>
    <n v="333.29999999999995"/>
  </r>
  <r>
    <n v="104"/>
    <x v="9"/>
    <s v="Shampoo  Healthy Hair Growth Effect (Collagen &amp; Black Garlic) 1 L"/>
    <n v="181.94"/>
    <n v="1000"/>
    <n v="150"/>
    <n v="4.2"/>
    <n v="18.193999999999999"/>
  </r>
  <r>
    <n v="106"/>
    <x v="10"/>
    <s v="Keratolytic Shampoo Body Wash | AntiDandruff Shampoo | Hair and Body Shampoo | Hair Care | 200ml"/>
    <n v="314.89999999999998"/>
    <n v="200"/>
    <n v="148"/>
    <n v="4.0999999999999996"/>
    <n v="157.44999999999999"/>
  </r>
  <r>
    <n v="38"/>
    <x v="11"/>
    <s v="Biotin AntiHair Loss Shampoo 400ml"/>
    <n v="326.27"/>
    <n v="400"/>
    <n v="447"/>
    <n v="4.7"/>
    <n v="81.567499999999995"/>
  </r>
  <r>
    <n v="100"/>
    <x v="12"/>
    <s v="Repair Volume Shampoo ."/>
    <n v="608"/>
    <n v="330"/>
    <n v="156"/>
    <n v="4.2"/>
    <n v="184.24242424242425"/>
  </r>
  <r>
    <n v="31"/>
    <x v="13"/>
    <s v="Daily Perfection Pine Turpentine Shampoo 800ml"/>
    <n v="184.9"/>
    <n v="800"/>
    <n v="2270"/>
    <n v="4.5"/>
    <n v="23.112500000000001"/>
  </r>
  <r>
    <n v="46"/>
    <x v="14"/>
    <s v="Moisture Bomb Anti-Hair Loss Shampoo for Hair Prone to Fallout 400 ml"/>
    <n v="159.55000000000001"/>
    <n v="400"/>
    <n v="20"/>
    <n v="4.7"/>
    <n v="39.887500000000003"/>
  </r>
  <r>
    <n v="6"/>
    <x v="15"/>
    <s v="Hydra [Hyaluronic] Pure AntiGreasy Purifying Shampoo with Salicylic Acid 300ml"/>
    <n v="190.38"/>
    <n v="300"/>
    <n v="2950"/>
    <n v="4.4000000000000004"/>
    <n v="63.459999999999994"/>
  </r>
  <r>
    <n v="22"/>
    <x v="15"/>
    <s v="Complete Resistance AntiHair Loss Shampoo 300ml"/>
    <n v="167.94"/>
    <n v="300"/>
    <n v="1131"/>
    <n v="4.5999999999999996"/>
    <n v="55.98"/>
  </r>
  <r>
    <n v="52"/>
    <x v="15"/>
    <s v="Complete Resistance AntiHair Loss 2in1 Shampoo 360ml"/>
    <n v="279.89999999999998"/>
    <n v="360"/>
    <n v="303"/>
    <n v="4.5999999999999996"/>
    <n v="77.75"/>
  </r>
  <r>
    <n v="90"/>
    <x v="15"/>
    <s v="Growth Booster AntiHair Loss Shampoo 200ml"/>
    <n v="316.35000000000002"/>
    <n v="200"/>
    <n v="171"/>
    <n v="4.5"/>
    <n v="158.17500000000001"/>
  </r>
  <r>
    <n v="1"/>
    <x v="16"/>
    <s v="9 Actives AntiHair Loss Fast Hair Growth &amp; Repair Volumizing Nourishing Shampoo 400ml"/>
    <n v="347.65"/>
    <n v="400"/>
    <n v="75277"/>
    <n v="4.0999999999999996"/>
    <n v="86.912499999999994"/>
  </r>
  <r>
    <n v="27"/>
    <x v="17"/>
    <s v="AntiDandruff Shampoo for Sensitive Scalp and DandruffProne Hair 400ml (saltfree)"/>
    <n v="230.2"/>
    <n v="400"/>
    <n v="735"/>
    <n v="4.0999999999999996"/>
    <n v="57.550000000000004"/>
  </r>
  <r>
    <n v="66"/>
    <x v="17"/>
    <s v="Hair Care Shampoo for Weak and Falling Hair 400ml (PROCAPIL) (saltfree)"/>
    <n v="284.10000000000002"/>
    <n v="400"/>
    <n v="254"/>
    <n v="4.0999999999999996"/>
    <n v="71.025000000000006"/>
  </r>
  <r>
    <n v="74"/>
    <x v="17"/>
    <s v="Hair Care Shampoo for Dry, Damaged and Chemically Treated Hair 400ml (saltfree)"/>
    <n v="136.9"/>
    <n v="400"/>
    <n v="198"/>
    <n v="4.5"/>
    <n v="34.225000000000001"/>
  </r>
  <r>
    <n v="105"/>
    <x v="18"/>
    <s v="Nourishing and Repairing Herbal Shampoo 400ml – Complete Care – Plumping Effect"/>
    <n v="342.9"/>
    <n v="400"/>
    <n v="149"/>
    <n v="5"/>
    <n v="85.724999999999994"/>
  </r>
  <r>
    <n v="30"/>
    <x v="19"/>
    <s v="Full Hair Wonder Shampoo 400 ml"/>
    <n v="120.17"/>
    <n v="400"/>
    <n v="275"/>
    <n v="4.5999999999999996"/>
    <n v="30.0425"/>
  </r>
  <r>
    <n v="9"/>
    <x v="20"/>
    <s v="Shampoo for Normal and Dry Hair  340ml."/>
    <n v="347.9"/>
    <n v="340"/>
    <n v="2509"/>
    <n v="4.5999999999999996"/>
    <n v="102.3235294117647"/>
  </r>
  <r>
    <n v="12"/>
    <x v="20"/>
    <s v="Volumizing Shampoo  340ml."/>
    <n v="364"/>
    <n v="340"/>
    <n v="1695"/>
    <n v="4.5999999999999996"/>
    <n v="107.05882352941177"/>
  </r>
  <r>
    <n v="17"/>
    <x v="20"/>
    <s v="Shampoo for Oily Hair  340ml."/>
    <n v="347.9"/>
    <n v="340"/>
    <n v="1375"/>
    <n v="4.3"/>
    <n v="102.3235294117647"/>
  </r>
  <r>
    <n v="39"/>
    <x v="21"/>
    <s v="300ml Shampoo. Deep Cleansing."/>
    <n v="178.5"/>
    <n v="300"/>
    <n v="441"/>
    <n v="4.5"/>
    <n v="59.5"/>
  </r>
  <r>
    <n v="59"/>
    <x v="21"/>
    <s v="Cleansing &amp; Shining AntiDandruff Shampoo 800ml"/>
    <n v="367.5"/>
    <n v="800"/>
    <n v="285"/>
    <n v="4.5999999999999996"/>
    <n v="45.9375"/>
  </r>
  <r>
    <n v="87"/>
    <x v="21"/>
    <s v="Deep Cleansing AntiOily 300ml"/>
    <n v="178.5"/>
    <n v="300"/>
    <n v="179"/>
    <n v="4.4000000000000004"/>
    <n v="59.5"/>
  </r>
  <r>
    <n v="115"/>
    <x v="21"/>
    <s v="Extra Volume AntiDandruff Shampoo 350ml"/>
    <n v="349"/>
    <n v="350"/>
    <n v="139"/>
    <n v="4.5"/>
    <n v="99.714285714285708"/>
  </r>
  <r>
    <n v="112"/>
    <x v="22"/>
    <s v="AntiDandruff Shampoo with Salicylic Acid and Selenite, 400ml"/>
    <n v="510.12"/>
    <n v="400"/>
    <n v="142"/>
    <n v="4.5999999999999996"/>
    <n v="127.53000000000002"/>
  </r>
  <r>
    <n v="64"/>
    <x v="23"/>
    <s v="AntiHair Loss Care Shampoo with Black Garlic Extract, Collagen and Keratin Enriched 350ml"/>
    <n v="498"/>
    <n v="350"/>
    <n v="260"/>
    <n v="4.9000000000000004"/>
    <n v="142.28571428571428"/>
  </r>
  <r>
    <n v="82"/>
    <x v="24"/>
    <s v="Keratin Complex Shampoo, Nourishing and Repairing, For All Hair Types, 675ml"/>
    <n v="400"/>
    <n v="675"/>
    <n v="190"/>
    <n v="4.4000000000000004"/>
    <n v="59.259259259259252"/>
  </r>
  <r>
    <n v="60"/>
    <x v="25"/>
    <s v="Bi Derm's AntiDandruff and AntiItch Shampoo  Sensitive Scalp Care"/>
    <n v="650"/>
    <n v="250"/>
    <n v="283"/>
    <n v="4.5999999999999996"/>
    <n v="260"/>
  </r>
  <r>
    <n v="37"/>
    <x v="26"/>
    <s v="Purifying and Balancing PURE BALANCE Shampoo for Oily Hair 500ml"/>
    <n v="449.1"/>
    <n v="500"/>
    <n v="459"/>
    <n v="4.8"/>
    <n v="89.82"/>
  </r>
  <r>
    <n v="102"/>
    <x v="26"/>
    <s v="AntiDandruff Shampoo with Selenium and Salicylic Acid 250ml"/>
    <n v="494.1"/>
    <n v="250"/>
    <n v="151"/>
    <n v="4.8"/>
    <n v="197.64000000000001"/>
  </r>
  <r>
    <n v="93"/>
    <x v="27"/>
    <s v="Water Peppermint and Aventurine AntiDandruff Shampoo 300ml"/>
    <n v="197.9"/>
    <n v="300"/>
    <n v="164"/>
    <n v="4.3"/>
    <n v="65.966666666666669"/>
  </r>
  <r>
    <n v="40"/>
    <x v="28"/>
    <s v="Brown Hair Shampoo 7.0 | 300ml &amp; For Gray Hair"/>
    <n v="499"/>
    <n v="300"/>
    <n v="436"/>
    <n v="4.0999999999999996"/>
    <n v="166.33333333333334"/>
  </r>
  <r>
    <n v="110"/>
    <x v="29"/>
    <s v="Argan Oil Shampoo Deep Repair Maca Extract Moisturizing Shampoo 500ml Karsel"/>
    <n v="949.05"/>
    <n v="500"/>
    <n v="144"/>
    <n v="4.5"/>
    <n v="189.81"/>
  </r>
  <r>
    <n v="109"/>
    <x v="30"/>
    <s v="AntiBreakage Nourishing Care Shampoo KUNDAL Honey &amp; Macadamia Nature Shampoo 500ml Baby Powder"/>
    <n v="513.4"/>
    <n v="500"/>
    <n v="145"/>
    <n v="4.5"/>
    <n v="102.67999999999999"/>
  </r>
  <r>
    <n v="28"/>
    <x v="31"/>
    <s v="Extra Volumizing Intensive Argan and Keratin Complex Shampoo, SaltFree Special Formula, 250ml"/>
    <n v="331.55"/>
    <n v="250"/>
    <n v="719"/>
    <n v="4.4000000000000004"/>
    <n v="132.62"/>
  </r>
  <r>
    <n v="114"/>
    <x v="32"/>
    <s v="5 in 1 Shampoo 400ml"/>
    <n v="456.35"/>
    <n v="400"/>
    <n v="139"/>
    <n v="4.9000000000000004"/>
    <n v="114.08750000000001"/>
  </r>
  <r>
    <n v="48"/>
    <x v="33"/>
    <s v="Platinum Professional Shampoo"/>
    <n v="299"/>
    <n v="250"/>
    <n v="314"/>
    <n v="4.2"/>
    <n v="119.6"/>
  </r>
  <r>
    <n v="79"/>
    <x v="34"/>
    <s v="Intensive AntiDandruff Shampoo, AntiDandruff, AntiItching and AntiOily Skin 500ml"/>
    <n v="482.46"/>
    <n v="500"/>
    <n v="193"/>
    <n v="4.9000000000000004"/>
    <n v="96.492000000000004"/>
  </r>
  <r>
    <n v="84"/>
    <x v="34"/>
    <s v="AntiHair Loss Shampoo, Hair Strengthening, Nourishing, Vitamin E, Caffeine, Arginine 500ml"/>
    <n v="468.35"/>
    <n v="500"/>
    <n v="184"/>
    <n v="4.9000000000000004"/>
    <n v="93.670000000000016"/>
  </r>
  <r>
    <n v="116"/>
    <x v="34"/>
    <s v="SulfateFree SulfateFree Daily Nourishing Moisturizing Shampoo for Dry and Normal Hair 500ml"/>
    <n v="350"/>
    <n v="500"/>
    <n v="137"/>
    <n v="4.8"/>
    <n v="70"/>
  </r>
  <r>
    <n v="2"/>
    <x v="35"/>
    <s v="AntiHair Loss Shampoo with 11 Active Ingredients for Hair Falling Out and Slow Growing Hair 400ml"/>
    <n v="467"/>
    <n v="400"/>
    <n v="8325"/>
    <n v="4"/>
    <n v="116.75"/>
  </r>
  <r>
    <n v="85"/>
    <x v="36"/>
    <s v="2Pack Shampoo for Hair Loss and Slow Hair Growth, and AntiDandruff Eczema Shampoo"/>
    <n v="549"/>
    <n v="250"/>
    <n v="181"/>
    <n v="4.3"/>
    <n v="219.60000000000002"/>
  </r>
  <r>
    <n v="95"/>
    <x v="37"/>
    <s v="Vitalizing Anti Dandruff Shampoo  AntiFlax &amp; AntiDandruff Hair Care Shampoo (250ml)"/>
    <n v="703"/>
    <n v="250"/>
    <n v="160"/>
    <n v="5"/>
    <n v="281.2"/>
  </r>
  <r>
    <n v="96"/>
    <x v="38"/>
    <s v="AntiHair Loss Shampoo, Nourishing and Repairing Shampoo for Fast Hair Growth"/>
    <n v="499"/>
    <n v="400"/>
    <n v="158"/>
    <n v="4.2"/>
    <n v="124.75"/>
  </r>
  <r>
    <n v="72"/>
    <x v="39"/>
    <s v="Rosemary Mint Strengthening Shampoo 355ml"/>
    <n v="236.55"/>
    <n v="355"/>
    <n v="227"/>
    <n v="4.2"/>
    <n v="66.633802816901408"/>
  </r>
  <r>
    <n v="7"/>
    <x v="40"/>
    <s v="AntiDandruff and AntiItching Shampoo  Purify Me Shampoo 250ml"/>
    <n v="363"/>
    <n v="250"/>
    <n v="2818"/>
    <n v="4.5"/>
    <n v="145.19999999999999"/>
  </r>
  <r>
    <n v="10"/>
    <x v="40"/>
    <s v="Hydrate Me Moisturizing Care Shampoo 250ml"/>
    <n v="389"/>
    <n v="250"/>
    <n v="2172"/>
    <n v="4.5999999999999996"/>
    <n v="155.6"/>
  </r>
  <r>
    <n v="25"/>
    <x v="40"/>
    <s v="AntiHair Loss Shampoo  Fortify Me Shampoo 250ml"/>
    <n v="399"/>
    <n v="250"/>
    <n v="838"/>
    <n v="4.5"/>
    <n v="159.60000000000002"/>
  </r>
  <r>
    <n v="89"/>
    <x v="41"/>
    <s v="Garlic Shampoo (400ml) AntiHair Loss Shampoo Hair Repair Shampoo"/>
    <n v="319.2"/>
    <n v="400"/>
    <n v="173"/>
    <n v="4.5"/>
    <n v="79.8"/>
  </r>
  <r>
    <n v="108"/>
    <x v="41"/>
    <s v="Garlic Shampoo 400ml"/>
    <n v="274"/>
    <n v="400"/>
    <n v="147"/>
    <n v="4.4000000000000004"/>
    <n v="68.5"/>
  </r>
  <r>
    <n v="62"/>
    <x v="42"/>
    <s v="Rosemary Shampoo 400ml | AntiHair Loss | Contains Biotin, Keratin and Panthenol"/>
    <n v="320"/>
    <n v="400"/>
    <n v="269"/>
    <n v="4.5"/>
    <n v="80"/>
  </r>
  <r>
    <n v="56"/>
    <x v="43"/>
    <s v="AntiOily Dandruff Shampoo for Oily Hair"/>
    <n v="375"/>
    <n v="300"/>
    <n v="296"/>
    <n v="4.3"/>
    <n v="125"/>
  </r>
  <r>
    <n v="55"/>
    <x v="44"/>
    <s v="Fast White and Gray Concealer Shampoo 420ml Natural Black"/>
    <n v="318.60000000000002"/>
    <n v="420"/>
    <n v="298"/>
    <n v="4.2"/>
    <n v="75.857142857142861"/>
  </r>
  <r>
    <n v="70"/>
    <x v="45"/>
    <s v="D1 Intensive AntiHair Loss Shampoo 200ml  ANTI HAIR LOSS SHAMPOO"/>
    <n v="312.55"/>
    <n v="200"/>
    <n v="231"/>
    <n v="4.9000000000000004"/>
    <n v="156.27500000000001"/>
  </r>
  <r>
    <n v="92"/>
    <x v="45"/>
    <s v="D1 Anti Hair Loss Shampoo Intensive AntiHair Loss Shampoo 500ml"/>
    <n v="416.19"/>
    <n v="500"/>
    <n v="166"/>
    <n v="4.8"/>
    <n v="83.238"/>
  </r>
  <r>
    <n v="76"/>
    <x v="46"/>
    <s v="Rosemary Intensive Care Shampoo AntiHair Loss and Promotes Faster Hair Growth"/>
    <n v="519.91999999999996"/>
    <n v="400"/>
    <n v="196"/>
    <n v="4.4000000000000004"/>
    <n v="129.97999999999999"/>
  </r>
  <r>
    <n v="91"/>
    <x v="47"/>
    <s v="Black Hair Shampoo, White Hair Concealer Shampoo, Black Color, 400ml"/>
    <n v="351.5"/>
    <n v="400"/>
    <n v="169"/>
    <n v="4.3"/>
    <n v="87.875"/>
  </r>
  <r>
    <n v="77"/>
    <x v="48"/>
    <s v="AntiHair Loss Shampoo 390ml"/>
    <n v="321"/>
    <n v="390"/>
    <n v="195"/>
    <n v="4.5"/>
    <n v="82.307692307692307"/>
  </r>
  <r>
    <n v="63"/>
    <x v="49"/>
    <s v="Herbal Shampoo For All Hair Types 750ml (For All Hair Types)"/>
    <n v="145"/>
    <n v="750"/>
    <n v="261"/>
    <n v="4.4000000000000004"/>
    <n v="19.333333333333332"/>
  </r>
  <r>
    <n v="42"/>
    <x v="50"/>
    <s v="Women Moisturizing and Volumizing Care Shampoo for Damaged, Processed Hair 300ml"/>
    <n v="459.9"/>
    <n v="300"/>
    <n v="188"/>
    <n v="4.5999999999999996"/>
    <n v="153.29999999999998"/>
  </r>
  <r>
    <n v="32"/>
    <x v="51"/>
    <s v="Hair Repair Shampoo 400ml"/>
    <n v="680"/>
    <n v="400"/>
    <n v="570"/>
    <n v="4.9000000000000004"/>
    <n v="170"/>
  </r>
  <r>
    <n v="18"/>
    <x v="52"/>
    <s v="AntiHair Loss Shampoo with Garlic for Hair Falling Out and Slow Growing Hair 1000ml"/>
    <n v="252.34"/>
    <n v="1000"/>
    <n v="1354"/>
    <n v="4.5999999999999996"/>
    <n v="25.234000000000002"/>
  </r>
  <r>
    <n v="107"/>
    <x v="52"/>
    <s v="GarlicInfused AntiHair Loss Shampoo 500ml  For Hair Loss and Slow Hair Growth"/>
    <n v="148"/>
    <n v="500"/>
    <n v="148"/>
    <n v="4.5"/>
    <n v="29.599999999999998"/>
  </r>
  <r>
    <n v="57"/>
    <x v="53"/>
    <s v="Speed ​​Strong Anti-Hair Loss Shampoo 500 ml - With Ivy Extract, Healthy Growth, Anti-Hair Loss"/>
    <n v="132.9"/>
    <n v="500"/>
    <n v="2134"/>
    <n v="4.4000000000000004"/>
    <n v="26.5800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65BC1-2E0B-4878-A2EA-5C420B3E2DD6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40:I95" firstHeaderRow="1" firstDataRow="1" firstDataCol="1"/>
  <pivotFields count="8">
    <pivotField showAll="0"/>
    <pivotField axis="axisRow" showAll="0" sortType="ascending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showAll="0"/>
    <pivotField dataField="1" numFmtId="164" showAll="0"/>
  </pivotFields>
  <rowFields count="1">
    <field x="1"/>
  </rowFields>
  <rowItems count="55">
    <i>
      <x v="9"/>
    </i>
    <i>
      <x v="49"/>
    </i>
    <i>
      <x v="13"/>
    </i>
    <i>
      <x v="53"/>
    </i>
    <i>
      <x v="52"/>
    </i>
    <i>
      <x v="4"/>
    </i>
    <i>
      <x v="19"/>
    </i>
    <i>
      <x v="14"/>
    </i>
    <i>
      <x v="2"/>
    </i>
    <i>
      <x v="17"/>
    </i>
    <i>
      <x v="5"/>
    </i>
    <i>
      <x v="24"/>
    </i>
    <i>
      <x v="27"/>
    </i>
    <i>
      <x v="21"/>
    </i>
    <i>
      <x v="39"/>
    </i>
    <i>
      <x v="41"/>
    </i>
    <i>
      <x v="44"/>
    </i>
    <i>
      <x v="6"/>
    </i>
    <i>
      <x v="42"/>
    </i>
    <i>
      <x v="11"/>
    </i>
    <i>
      <x v="48"/>
    </i>
    <i>
      <x v="18"/>
    </i>
    <i>
      <x v="34"/>
    </i>
    <i>
      <x v="16"/>
    </i>
    <i>
      <x v="47"/>
    </i>
    <i>
      <x v="15"/>
    </i>
    <i>
      <x v="1"/>
    </i>
    <i>
      <x v="7"/>
    </i>
    <i>
      <x v="30"/>
    </i>
    <i>
      <x v="20"/>
    </i>
    <i>
      <x v="32"/>
    </i>
    <i>
      <x v="35"/>
    </i>
    <i>
      <x v="33"/>
    </i>
    <i>
      <x v="45"/>
    </i>
    <i>
      <x v="38"/>
    </i>
    <i>
      <x v="43"/>
    </i>
    <i>
      <x v="22"/>
    </i>
    <i>
      <x v="46"/>
    </i>
    <i>
      <x v="31"/>
    </i>
    <i>
      <x v="23"/>
    </i>
    <i>
      <x v="26"/>
    </i>
    <i>
      <x v="50"/>
    </i>
    <i>
      <x v="40"/>
    </i>
    <i>
      <x v="10"/>
    </i>
    <i>
      <x/>
    </i>
    <i>
      <x v="28"/>
    </i>
    <i>
      <x v="51"/>
    </i>
    <i>
      <x v="12"/>
    </i>
    <i>
      <x v="29"/>
    </i>
    <i>
      <x v="3"/>
    </i>
    <i>
      <x v="36"/>
    </i>
    <i>
      <x v="25"/>
    </i>
    <i>
      <x v="37"/>
    </i>
    <i>
      <x v="8"/>
    </i>
    <i t="grand">
      <x/>
    </i>
  </rowItems>
  <colItems count="1">
    <i/>
  </colItems>
  <dataFields count="1">
    <dataField name="Average of price_100 ml" fld="7" subtotal="average" baseField="1" baseItem="0" numFmtId="165"/>
  </dataFields>
  <formats count="1">
    <format dxfId="1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2BACF-71AC-4414-99BC-97BA3743C40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22:F77" firstHeaderRow="1" firstDataRow="1" firstDataCol="1"/>
  <pivotFields count="8">
    <pivotField showAll="0"/>
    <pivotField axis="axisRow" showAll="0" sortType="ascending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dataField="1" showAll="0"/>
    <pivotField numFmtId="164" showAll="0"/>
  </pivotFields>
  <rowFields count="1">
    <field x="1"/>
  </rowFields>
  <rowItems count="55">
    <i>
      <x v="35"/>
    </i>
    <i>
      <x v="16"/>
    </i>
    <i>
      <x v="10"/>
    </i>
    <i>
      <x v="3"/>
    </i>
    <i>
      <x v="28"/>
    </i>
    <i>
      <x v="7"/>
    </i>
    <i>
      <x v="9"/>
    </i>
    <i>
      <x v="44"/>
    </i>
    <i>
      <x v="33"/>
    </i>
    <i>
      <x/>
    </i>
    <i>
      <x v="12"/>
    </i>
    <i>
      <x v="39"/>
    </i>
    <i>
      <x v="38"/>
    </i>
    <i>
      <x v="17"/>
    </i>
    <i>
      <x v="27"/>
    </i>
    <i>
      <x v="36"/>
    </i>
    <i>
      <x v="8"/>
    </i>
    <i>
      <x v="1"/>
    </i>
    <i>
      <x v="47"/>
    </i>
    <i>
      <x v="43"/>
    </i>
    <i>
      <x v="24"/>
    </i>
    <i>
      <x v="31"/>
    </i>
    <i>
      <x v="53"/>
    </i>
    <i>
      <x v="46"/>
    </i>
    <i>
      <x v="49"/>
    </i>
    <i>
      <x v="41"/>
    </i>
    <i>
      <x v="2"/>
    </i>
    <i>
      <x v="21"/>
    </i>
    <i>
      <x v="30"/>
    </i>
    <i>
      <x v="13"/>
    </i>
    <i>
      <x v="20"/>
    </i>
    <i>
      <x v="29"/>
    </i>
    <i>
      <x v="42"/>
    </i>
    <i>
      <x v="48"/>
    </i>
    <i>
      <x v="15"/>
    </i>
    <i>
      <x v="40"/>
    </i>
    <i>
      <x v="52"/>
    </i>
    <i>
      <x v="25"/>
    </i>
    <i>
      <x v="19"/>
    </i>
    <i>
      <x v="22"/>
    </i>
    <i>
      <x v="50"/>
    </i>
    <i>
      <x v="4"/>
    </i>
    <i>
      <x v="14"/>
    </i>
    <i>
      <x v="6"/>
    </i>
    <i>
      <x v="11"/>
    </i>
    <i>
      <x v="26"/>
    </i>
    <i>
      <x v="5"/>
    </i>
    <i>
      <x v="45"/>
    </i>
    <i>
      <x v="34"/>
    </i>
    <i>
      <x v="23"/>
    </i>
    <i>
      <x v="51"/>
    </i>
    <i>
      <x v="32"/>
    </i>
    <i>
      <x v="18"/>
    </i>
    <i>
      <x v="37"/>
    </i>
    <i t="grand">
      <x/>
    </i>
  </rowItems>
  <colItems count="1">
    <i/>
  </colItems>
  <dataFields count="1">
    <dataField name="Average of rating" fld="6" subtotal="average" baseField="1" baseItem="1"/>
  </dataFields>
  <formats count="3">
    <format dxfId="13">
      <pivotArea collapsedLevelsAreSubtotals="1" fieldPosition="0">
        <references count="1">
          <reference field="1" count="1">
            <x v="17"/>
          </reference>
        </references>
      </pivotArea>
    </format>
    <format dxfId="12">
      <pivotArea collapsedLevelsAreSubtotals="1" fieldPosition="0">
        <references count="1">
          <reference field="1" count="1">
            <x v="34"/>
          </reference>
        </references>
      </pivotArea>
    </format>
    <format dxfId="11">
      <pivotArea collapsedLevelsAreSubtotals="1" fieldPosition="0">
        <references count="1">
          <reference field="1" count="1">
            <x v="40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6CCE74-B2A3-4273-8F19-8824471109A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8" firstHeaderRow="1" firstDataRow="1" firstDataCol="1"/>
  <pivotFields count="7">
    <pivotField axis="axisRow" showAll="0" sortType="ascending">
      <items count="6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98">
        <item x="86"/>
        <item x="54"/>
        <item x="33"/>
        <item x="48"/>
        <item x="24"/>
        <item x="46"/>
        <item x="82"/>
        <item x="58"/>
        <item x="25"/>
        <item x="37"/>
        <item x="42"/>
        <item x="3"/>
        <item x="38"/>
        <item x="88"/>
        <item x="89"/>
        <item x="60"/>
        <item x="70"/>
        <item x="95"/>
        <item x="53"/>
        <item x="74"/>
        <item x="51"/>
        <item x="56"/>
        <item x="64"/>
        <item x="45"/>
        <item x="40"/>
        <item x="16"/>
        <item x="84"/>
        <item x="69"/>
        <item x="4"/>
        <item x="7"/>
        <item x="85"/>
        <item x="44"/>
        <item x="34"/>
        <item x="22"/>
        <item x="21"/>
        <item x="67"/>
        <item x="66"/>
        <item x="91"/>
        <item x="92"/>
        <item x="18"/>
        <item x="35"/>
        <item x="36"/>
        <item x="47"/>
        <item x="65"/>
        <item x="29"/>
        <item x="61"/>
        <item x="62"/>
        <item x="10"/>
        <item x="75"/>
        <item x="23"/>
        <item x="27"/>
        <item x="26"/>
        <item x="73"/>
        <item x="71"/>
        <item x="20"/>
        <item x="59"/>
        <item x="50"/>
        <item x="81"/>
        <item x="83"/>
        <item x="87"/>
        <item x="39"/>
        <item x="15"/>
        <item x="19"/>
        <item x="1"/>
        <item x="9"/>
        <item x="28"/>
        <item x="94"/>
        <item x="8"/>
        <item x="49"/>
        <item x="96"/>
        <item x="5"/>
        <item x="2"/>
        <item x="41"/>
        <item x="79"/>
        <item x="17"/>
        <item x="90"/>
        <item x="68"/>
        <item x="57"/>
        <item x="63"/>
        <item x="80"/>
        <item x="14"/>
        <item x="78"/>
        <item x="6"/>
        <item x="30"/>
        <item x="32"/>
        <item x="77"/>
        <item x="76"/>
        <item x="13"/>
        <item x="0"/>
        <item x="52"/>
        <item x="12"/>
        <item x="55"/>
        <item x="31"/>
        <item x="43"/>
        <item x="11"/>
        <item x="72"/>
        <item x="93"/>
        <item t="default"/>
      </items>
    </pivotField>
    <pivotField dataField="1" numFmtId="164" showAll="0">
      <items count="89">
        <item x="27"/>
        <item x="69"/>
        <item x="25"/>
        <item x="3"/>
        <item x="4"/>
        <item x="64"/>
        <item x="68"/>
        <item x="8"/>
        <item x="17"/>
        <item x="6"/>
        <item x="2"/>
        <item x="19"/>
        <item x="30"/>
        <item x="12"/>
        <item x="16"/>
        <item x="18"/>
        <item x="70"/>
        <item x="39"/>
        <item x="84"/>
        <item x="5"/>
        <item x="9"/>
        <item x="23"/>
        <item x="52"/>
        <item x="71"/>
        <item x="67"/>
        <item x="10"/>
        <item x="20"/>
        <item x="24"/>
        <item x="45"/>
        <item x="1"/>
        <item x="59"/>
        <item x="13"/>
        <item x="21"/>
        <item x="58"/>
        <item x="55"/>
        <item x="56"/>
        <item x="63"/>
        <item x="14"/>
        <item x="43"/>
        <item x="26"/>
        <item x="22"/>
        <item x="28"/>
        <item x="32"/>
        <item x="48"/>
        <item x="62"/>
        <item x="53"/>
        <item x="29"/>
        <item x="31"/>
        <item x="57"/>
        <item x="77"/>
        <item x="54"/>
        <item x="72"/>
        <item x="0"/>
        <item x="87"/>
        <item x="35"/>
        <item x="60"/>
        <item x="82"/>
        <item x="76"/>
        <item x="75"/>
        <item x="79"/>
        <item x="37"/>
        <item x="44"/>
        <item x="65"/>
        <item x="49"/>
        <item x="47"/>
        <item x="83"/>
        <item x="74"/>
        <item x="46"/>
        <item x="86"/>
        <item x="38"/>
        <item x="34"/>
        <item x="40"/>
        <item x="85"/>
        <item x="33"/>
        <item x="42"/>
        <item x="61"/>
        <item x="78"/>
        <item x="50"/>
        <item x="73"/>
        <item x="81"/>
        <item x="80"/>
        <item x="15"/>
        <item x="36"/>
        <item x="66"/>
        <item x="51"/>
        <item x="7"/>
        <item x="41"/>
        <item x="11"/>
        <item t="default"/>
      </items>
    </pivotField>
    <pivotField showAll="0"/>
    <pivotField showAll="0">
      <items count="91">
        <item x="19"/>
        <item x="9"/>
        <item x="50"/>
        <item x="7"/>
        <item x="36"/>
        <item x="74"/>
        <item x="44"/>
        <item x="45"/>
        <item x="59"/>
        <item x="15"/>
        <item x="28"/>
        <item x="14"/>
        <item x="41"/>
        <item x="17"/>
        <item x="53"/>
        <item x="6"/>
        <item x="42"/>
        <item x="64"/>
        <item x="66"/>
        <item x="23"/>
        <item x="58"/>
        <item x="35"/>
        <item x="8"/>
        <item x="52"/>
        <item x="49"/>
        <item x="87"/>
        <item x="68"/>
        <item x="38"/>
        <item x="48"/>
        <item x="67"/>
        <item x="65"/>
        <item x="88"/>
        <item x="27"/>
        <item x="73"/>
        <item x="54"/>
        <item x="89"/>
        <item x="63"/>
        <item x="86"/>
        <item x="13"/>
        <item x="26"/>
        <item x="1"/>
        <item x="37"/>
        <item x="11"/>
        <item x="60"/>
        <item x="29"/>
        <item x="39"/>
        <item x="34"/>
        <item x="61"/>
        <item x="62"/>
        <item x="22"/>
        <item x="47"/>
        <item x="10"/>
        <item x="2"/>
        <item x="0"/>
        <item x="43"/>
        <item x="33"/>
        <item x="16"/>
        <item x="40"/>
        <item x="77"/>
        <item x="78"/>
        <item x="5"/>
        <item x="69"/>
        <item x="76"/>
        <item x="46"/>
        <item x="25"/>
        <item x="72"/>
        <item x="57"/>
        <item x="80"/>
        <item x="4"/>
        <item x="21"/>
        <item x="85"/>
        <item x="3"/>
        <item x="70"/>
        <item x="32"/>
        <item x="84"/>
        <item x="12"/>
        <item x="79"/>
        <item x="31"/>
        <item x="82"/>
        <item x="71"/>
        <item x="56"/>
        <item x="18"/>
        <item x="30"/>
        <item x="55"/>
        <item x="20"/>
        <item x="75"/>
        <item x="83"/>
        <item x="81"/>
        <item x="51"/>
        <item x="24"/>
        <item t="default"/>
      </items>
    </pivotField>
    <pivotField showAll="0"/>
    <pivotField numFmtId="164" showAll="0"/>
  </pivotFields>
  <rowFields count="2">
    <field x="0"/>
    <field x="1"/>
  </rowFields>
  <rowItems count="65">
    <i>
      <x v="19"/>
    </i>
    <i>
      <x v="49"/>
    </i>
    <i>
      <x v="4"/>
    </i>
    <i>
      <x v="14"/>
    </i>
    <i>
      <x v="2"/>
    </i>
    <i>
      <x v="9"/>
    </i>
    <i>
      <x v="13"/>
    </i>
    <i>
      <x v="53"/>
    </i>
    <i>
      <x v="27"/>
    </i>
    <i>
      <x v="52"/>
    </i>
    <i>
      <x v="17"/>
    </i>
    <i>
      <x v="5"/>
    </i>
    <i>
      <x v="39"/>
    </i>
    <i>
      <x v="15"/>
    </i>
    <i>
      <x v="21"/>
    </i>
    <i>
      <x v="6"/>
    </i>
    <i>
      <x v="41"/>
    </i>
    <i>
      <x v="33"/>
    </i>
    <i>
      <x v="1"/>
    </i>
    <i>
      <x v="10"/>
    </i>
    <i>
      <x v="44"/>
    </i>
    <i>
      <x v="42"/>
    </i>
    <i>
      <x v="48"/>
    </i>
    <i>
      <x v="11"/>
    </i>
    <i>
      <x v="31"/>
    </i>
    <i>
      <x v="60"/>
    </i>
    <i>
      <x v="18"/>
    </i>
    <i>
      <x v="16"/>
    </i>
    <i>
      <x v="47"/>
    </i>
    <i>
      <x v="20"/>
    </i>
    <i>
      <x v="45"/>
    </i>
    <i>
      <x v="43"/>
    </i>
    <i>
      <x v="40"/>
    </i>
    <i>
      <x v="54"/>
    </i>
    <i>
      <x v="7"/>
    </i>
    <i>
      <x/>
    </i>
    <i>
      <x v="62"/>
    </i>
    <i>
      <x v="24"/>
    </i>
    <i>
      <x v="59"/>
    </i>
    <i>
      <x v="56"/>
    </i>
    <i>
      <x v="34"/>
    </i>
    <i>
      <x v="57"/>
    </i>
    <i>
      <x v="32"/>
    </i>
    <i>
      <x v="50"/>
    </i>
    <i>
      <x v="35"/>
    </i>
    <i>
      <x v="26"/>
    </i>
    <i>
      <x v="55"/>
    </i>
    <i>
      <x v="61"/>
    </i>
    <i>
      <x v="23"/>
    </i>
    <i>
      <x v="28"/>
    </i>
    <i>
      <x v="63"/>
    </i>
    <i>
      <x v="38"/>
    </i>
    <i>
      <x v="22"/>
    </i>
    <i>
      <x v="30"/>
    </i>
    <i>
      <x v="46"/>
    </i>
    <i>
      <x v="36"/>
    </i>
    <i>
      <x v="58"/>
    </i>
    <i>
      <x v="12"/>
    </i>
    <i>
      <x v="25"/>
    </i>
    <i>
      <x v="51"/>
    </i>
    <i>
      <x v="37"/>
    </i>
    <i>
      <x v="3"/>
    </i>
    <i>
      <x v="29"/>
    </i>
    <i>
      <x v="8"/>
    </i>
    <i t="grand">
      <x/>
    </i>
  </rowItems>
  <colItems count="1">
    <i/>
  </colItems>
  <dataFields count="1">
    <dataField name="Average of price" fld="2" subtotal="average" baseField="0" baseItem="1" numFmtId="166"/>
  </dataFields>
  <formats count="1">
    <format dxfId="1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DA0EFAD-61CD-46C5-9F11-494A679A00A3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brand_name" tableColumnId="2"/>
      <queryTableField id="3" name="product_details" tableColumnId="3"/>
      <queryTableField id="4" name="price" tableColumnId="4"/>
      <queryTableField id="5" name="product_size" tableColumnId="5"/>
      <queryTableField id="6" name="reviews_count" tableColumnId="6"/>
      <queryTableField id="7" name="rating" tableColumnId="7"/>
      <queryTableField id="8" name="price_100 ml" tableColumnId="8"/>
      <queryTableField id="9" name="Column1" tableColumnId="9"/>
      <queryTableField id="10" name="Column2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C2EADEB-FB7F-464B-BEE0-317E8D717AC2}" autoFormatId="16" applyNumberFormats="0" applyBorderFormats="0" applyFontFormats="0" applyPatternFormats="0" applyAlignmentFormats="0" applyWidthHeightFormats="0">
  <queryTableRefresh nextId="10">
    <queryTableFields count="9">
      <queryTableField id="1" name="brand_key" tableColumnId="1"/>
      <queryTableField id="2" name="brand_name" tableColumnId="2"/>
      <queryTableField id="3" name="product_ID" tableColumnId="3"/>
      <queryTableField id="4" name="product_details" tableColumnId="4"/>
      <queryTableField id="5" name="product_price" tableColumnId="5"/>
      <queryTableField id="6" name="product_details - Copy" tableColumnId="6"/>
      <queryTableField id="7" name="product_size" tableColumnId="7"/>
      <queryTableField id="8" name="offer_flag" tableColumnId="8"/>
      <queryTableField id="9" name="hair_category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DA3DD4-B9A8-45EE-9CFF-826CACC118CC}" autoFormatId="16" applyNumberFormats="0" applyBorderFormats="0" applyFontFormats="0" applyPatternFormats="0" applyAlignmentFormats="0" applyWidthHeightFormats="0">
  <queryTableRefresh nextId="3">
    <queryTableFields count="2">
      <queryTableField id="1" name="brand_name" tableColumnId="1"/>
      <queryTableField id="2" name="brand_ke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207DEE-ACDE-4A96-91C3-0E7752F515F4}" name="trendyol_final__most_rated_AutoRecovered___2_1" displayName="trendyol_final__most_rated_AutoRecovered___2_1" ref="A1:J98" tableType="queryTable" totalsRowShown="0">
  <autoFilter ref="A1:J98" xr:uid="{C6207DEE-ACDE-4A96-91C3-0E7752F515F4}"/>
  <tableColumns count="10">
    <tableColumn id="1" xr3:uid="{56F5AAD6-F7FE-4411-A892-1F7EFE1038F5}" uniqueName="1" name="product_ID" queryTableFieldId="1"/>
    <tableColumn id="2" xr3:uid="{00BA1EF0-BBBB-458B-8597-0A02C3EA88C1}" uniqueName="2" name="brand_name" queryTableFieldId="2" dataDxfId="16"/>
    <tableColumn id="3" xr3:uid="{5F146D0C-B959-493C-A538-C13BC373803E}" uniqueName="3" name="product_details" queryTableFieldId="3" dataDxfId="15"/>
    <tableColumn id="4" xr3:uid="{E41E1D3D-A2F6-469C-B61F-375BC3B1604D}" uniqueName="4" name="price" queryTableFieldId="4"/>
    <tableColumn id="5" xr3:uid="{3F75B4DE-150C-41C4-8CA9-526FCCE14610}" uniqueName="5" name="product_size" queryTableFieldId="5"/>
    <tableColumn id="6" xr3:uid="{6EC31BD7-F682-4D0D-86BF-B57E5E5CE41C}" uniqueName="6" name="reviews_count" queryTableFieldId="6"/>
    <tableColumn id="7" xr3:uid="{DABCCA26-41E3-4A02-B809-5E2C188E991C}" uniqueName="7" name="rating" queryTableFieldId="7"/>
    <tableColumn id="8" xr3:uid="{E425B750-9C2B-4522-956B-3A29FBE73D72}" uniqueName="8" name="price_100 ml" queryTableFieldId="8"/>
    <tableColumn id="9" xr3:uid="{7D71177B-C6FF-4080-8A49-D93FD3C26326}" uniqueName="9" name="Column1" queryTableFieldId="9"/>
    <tableColumn id="10" xr3:uid="{8A7BE682-8D93-4D32-8833-E93BB47F0DA6}" uniqueName="10" name="Column2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D89FE2-25FA-4301-82FD-26880FE2F894}" name="trendyol_final__most_rated_AutoRecovered___2" displayName="trendyol_final__most_rated_AutoRecovered___2" ref="A1:H98" totalsRowShown="0">
  <autoFilter ref="A1:H98" xr:uid="{58D89FE2-25FA-4301-82FD-26880FE2F894}"/>
  <sortState xmlns:xlrd2="http://schemas.microsoft.com/office/spreadsheetml/2017/richdata2" ref="A2:H98">
    <sortCondition ref="B1:B98"/>
  </sortState>
  <tableColumns count="8">
    <tableColumn id="1" xr3:uid="{E31BBA86-D6CD-4CAD-8099-70DE13A981E8}" name="product_ID"/>
    <tableColumn id="2" xr3:uid="{8200A619-36CF-4503-BA2B-547FC4DFFDF9}" name="brand_name" dataDxfId="9"/>
    <tableColumn id="3" xr3:uid="{43EE055D-36DC-44AF-BFE8-00EFDA008F85}" name="product_details" dataDxfId="8"/>
    <tableColumn id="4" xr3:uid="{B925EF4D-5142-436E-8CBF-BE08D90D7171}" name="price" dataDxfId="7"/>
    <tableColumn id="6" xr3:uid="{EB0D5CFD-83A9-4287-A73C-8AB70FFBE68A}" name="product_size"/>
    <tableColumn id="7" xr3:uid="{EA2530F6-93A7-4201-92EF-EF95B4619633}" name="reviews_count"/>
    <tableColumn id="8" xr3:uid="{22319276-2B0C-4485-A7EC-5FAB2EA95DBB}" name="rating"/>
    <tableColumn id="5" xr3:uid="{031E3E82-2D92-44FB-840F-5D7052EC9C58}" name="price_100 ml" dataDxfId="6">
      <calculatedColumnFormula>trendyol_final__most_rated_AutoRecovered___2[[#This Row],[price]]/trendyol_final__most_rated_AutoRecovered___2[[#This Row],[product_size]]*100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31C975-89A0-4F97-BABF-B792DA08CA7C}" name="products_table" displayName="products_table" ref="A1:I101" tableType="queryTable" totalsRowShown="0">
  <autoFilter ref="A1:I101" xr:uid="{A731C975-89A0-4F97-BABF-B792DA08CA7C}"/>
  <tableColumns count="9">
    <tableColumn id="1" xr3:uid="{74F03805-8B4C-4031-B268-D9A53FD75570}" uniqueName="1" name="brand_key" queryTableFieldId="1"/>
    <tableColumn id="2" xr3:uid="{2D9BB3D8-72D1-45A1-9C12-75DE4FE45BD0}" uniqueName="2" name="brand_name" queryTableFieldId="2" dataDxfId="4"/>
    <tableColumn id="3" xr3:uid="{E0152853-E5CE-4726-A914-31A4996D6C94}" uniqueName="3" name="product_ID" queryTableFieldId="3"/>
    <tableColumn id="4" xr3:uid="{D8F71A98-2334-4945-9822-D28F79EF2723}" uniqueName="4" name="product_details" queryTableFieldId="4" dataDxfId="3"/>
    <tableColumn id="5" xr3:uid="{DF7A5FB1-7FC9-4F81-8C0C-36F3B63937A3}" uniqueName="5" name="product_price" queryTableFieldId="5"/>
    <tableColumn id="6" xr3:uid="{248DA087-3F91-475F-AD4D-65B8BC54E605}" uniqueName="6" name="product_details - Copy" queryTableFieldId="6" dataDxfId="2"/>
    <tableColumn id="7" xr3:uid="{76F74F93-699D-45E8-B830-85913D50A587}" uniqueName="7" name="product_size" queryTableFieldId="7"/>
    <tableColumn id="8" xr3:uid="{89EFEB14-C426-420D-8F64-87DBF318B5A8}" uniqueName="8" name="offer_flag" queryTableFieldId="8" dataDxfId="1"/>
    <tableColumn id="9" xr3:uid="{B3202035-7F14-456E-A7E2-3E6ADC25B6CE}" uniqueName="9" name="hair_category" queryTableFieldId="9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D9CA2A-532C-4B3C-85D8-FC8822FBAD20}" name="brands_table" displayName="brands_table" ref="A1:B72" tableType="queryTable" totalsRowShown="0">
  <autoFilter ref="A1:B72" xr:uid="{42D9CA2A-532C-4B3C-85D8-FC8822FBAD20}"/>
  <tableColumns count="2">
    <tableColumn id="1" xr3:uid="{440CF10A-BFDB-41CF-968F-F4BA2C208383}" uniqueName="1" name="brand_name" queryTableFieldId="1" dataDxfId="5"/>
    <tableColumn id="2" xr3:uid="{24755935-24E6-4371-8215-0F4420982945}" uniqueName="2" name="brand_key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0E6092-556B-4C45-9377-2A9517CB8AD2}" name="trendyol_final__most_rated_AutoRecovered" displayName="trendyol_final__most_rated_AutoRecovered" ref="A1:J113" totalsRowShown="0">
  <autoFilter ref="A1:J113" xr:uid="{B80E6092-556B-4C45-9377-2A9517CB8AD2}"/>
  <sortState xmlns:xlrd2="http://schemas.microsoft.com/office/spreadsheetml/2017/richdata2" ref="A2:J113">
    <sortCondition descending="1" ref="I1:I113"/>
  </sortState>
  <tableColumns count="10">
    <tableColumn id="1" xr3:uid="{033A230B-7110-4528-874E-94350ACB62E9}" name="brand_id" dataDxfId="21"/>
    <tableColumn id="2" xr3:uid="{2E469DFF-F1DD-465B-957C-3910E5F8A3F0}" name="brand_name" dataDxfId="20"/>
    <tableColumn id="3" xr3:uid="{19670D71-8CB0-4C21-A7DA-E82DDF340F96}" name="product_details" dataDxfId="19"/>
    <tableColumn id="4" xr3:uid="{805AA58D-2B15-4DD6-A40A-6A212E72B79F}" name="product_orange_price"/>
    <tableColumn id="5" xr3:uid="{FB12EC6D-6FCD-4277-87D9-C01F3BA8A76A}" name="price_green"/>
    <tableColumn id="6" xr3:uid="{E127C8B1-5322-41AB-AB42-2BE286178274}" name="price_red"/>
    <tableColumn id="7" xr3:uid="{B4B4D566-EC24-48DB-87B2-5676C48EBE44}" name="pnk"/>
    <tableColumn id="8" xr3:uid="{AE13EABE-9E23-45D5-BE02-D836E884F847}" name="rating" dataDxfId="18"/>
    <tableColumn id="9" xr3:uid="{7835C4B9-4218-4431-84AB-A968D5A90A3F}" name="reviews_count"/>
    <tableColumn id="10" xr3:uid="{F6182C33-F5DE-4928-92EC-A433E2510EEC}" name="offer" dataDxf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5A62-CE78-42CF-8AB6-4A757E52AD2A}">
  <dimension ref="A1:J98"/>
  <sheetViews>
    <sheetView topLeftCell="C1" workbookViewId="0">
      <selection activeCell="C13" sqref="C13"/>
    </sheetView>
  </sheetViews>
  <sheetFormatPr defaultRowHeight="14.4" x14ac:dyDescent="0.3"/>
  <cols>
    <col min="1" max="1" width="12.6640625" bestFit="1" customWidth="1"/>
    <col min="2" max="2" width="32.109375" bestFit="1" customWidth="1"/>
    <col min="3" max="3" width="80.88671875" bestFit="1" customWidth="1"/>
    <col min="4" max="4" width="7.33203125" bestFit="1" customWidth="1"/>
    <col min="5" max="5" width="13.88671875" bestFit="1" customWidth="1"/>
    <col min="6" max="6" width="15.5546875" bestFit="1" customWidth="1"/>
    <col min="7" max="7" width="8.109375" bestFit="1" customWidth="1"/>
    <col min="8" max="8" width="13.88671875" bestFit="1" customWidth="1"/>
    <col min="9" max="10" width="12" bestFit="1" customWidth="1"/>
  </cols>
  <sheetData>
    <row r="1" spans="1:10" x14ac:dyDescent="0.3">
      <c r="A1" t="s">
        <v>10</v>
      </c>
      <c r="B1" t="s">
        <v>1</v>
      </c>
      <c r="C1" t="s">
        <v>2</v>
      </c>
      <c r="D1" t="s">
        <v>325</v>
      </c>
      <c r="E1" t="s">
        <v>327</v>
      </c>
      <c r="F1" t="s">
        <v>8</v>
      </c>
      <c r="G1" t="s">
        <v>7</v>
      </c>
      <c r="H1" t="s">
        <v>326</v>
      </c>
      <c r="I1" t="s">
        <v>441</v>
      </c>
      <c r="J1" t="s">
        <v>442</v>
      </c>
    </row>
    <row r="2" spans="1:10" x14ac:dyDescent="0.3">
      <c r="A2">
        <v>41</v>
      </c>
      <c r="B2" t="s">
        <v>14</v>
      </c>
      <c r="C2" t="s">
        <v>345</v>
      </c>
      <c r="D2">
        <v>399</v>
      </c>
      <c r="E2">
        <v>250</v>
      </c>
      <c r="F2">
        <v>418</v>
      </c>
      <c r="G2">
        <v>4.2</v>
      </c>
      <c r="H2">
        <v>159.60000000000002</v>
      </c>
      <c r="I2">
        <v>373.64793814432994</v>
      </c>
      <c r="J2">
        <v>373.64793814432994</v>
      </c>
    </row>
    <row r="3" spans="1:10" x14ac:dyDescent="0.3">
      <c r="A3">
        <v>65</v>
      </c>
      <c r="B3" t="s">
        <v>14</v>
      </c>
      <c r="C3" t="s">
        <v>346</v>
      </c>
      <c r="D3">
        <v>399</v>
      </c>
      <c r="E3">
        <v>250</v>
      </c>
      <c r="F3">
        <v>258</v>
      </c>
      <c r="G3">
        <v>4.2</v>
      </c>
      <c r="H3">
        <v>159.60000000000002</v>
      </c>
      <c r="I3">
        <v>373.64793814432994</v>
      </c>
    </row>
    <row r="4" spans="1:10" x14ac:dyDescent="0.3">
      <c r="A4">
        <v>43</v>
      </c>
      <c r="B4" t="s">
        <v>421</v>
      </c>
      <c r="C4" t="s">
        <v>422</v>
      </c>
      <c r="D4">
        <v>303.05</v>
      </c>
      <c r="E4">
        <v>330</v>
      </c>
      <c r="F4">
        <v>380</v>
      </c>
      <c r="G4">
        <v>4.3</v>
      </c>
      <c r="H4">
        <v>91.833333333333329</v>
      </c>
      <c r="I4">
        <v>373.64793814432994</v>
      </c>
    </row>
    <row r="5" spans="1:10" x14ac:dyDescent="0.3">
      <c r="A5">
        <v>19</v>
      </c>
      <c r="B5" t="s">
        <v>21</v>
      </c>
      <c r="C5" t="s">
        <v>401</v>
      </c>
      <c r="D5">
        <v>162.74</v>
      </c>
      <c r="E5">
        <v>360</v>
      </c>
      <c r="F5">
        <v>1245</v>
      </c>
      <c r="G5">
        <v>4.5</v>
      </c>
      <c r="H5">
        <v>45.205555555555563</v>
      </c>
      <c r="I5">
        <v>373.64793814432994</v>
      </c>
    </row>
    <row r="6" spans="1:10" x14ac:dyDescent="0.3">
      <c r="A6">
        <v>23</v>
      </c>
      <c r="B6" t="s">
        <v>21</v>
      </c>
      <c r="C6" t="s">
        <v>404</v>
      </c>
      <c r="D6">
        <v>140</v>
      </c>
      <c r="E6">
        <v>360</v>
      </c>
      <c r="F6">
        <v>1042</v>
      </c>
      <c r="G6">
        <v>4.5999999999999996</v>
      </c>
      <c r="H6">
        <v>38.888888888888893</v>
      </c>
      <c r="I6">
        <v>373.64793814432994</v>
      </c>
    </row>
    <row r="7" spans="1:10" x14ac:dyDescent="0.3">
      <c r="A7">
        <v>33</v>
      </c>
      <c r="B7" t="s">
        <v>21</v>
      </c>
      <c r="C7" t="s">
        <v>403</v>
      </c>
      <c r="D7">
        <v>144.66999999999999</v>
      </c>
      <c r="E7">
        <v>360</v>
      </c>
      <c r="F7">
        <v>564</v>
      </c>
      <c r="G7">
        <v>4.5</v>
      </c>
      <c r="H7">
        <v>40.186111111111103</v>
      </c>
      <c r="I7">
        <v>373.64793814432994</v>
      </c>
    </row>
    <row r="8" spans="1:10" x14ac:dyDescent="0.3">
      <c r="A8">
        <v>94</v>
      </c>
      <c r="B8" t="s">
        <v>21</v>
      </c>
      <c r="C8" t="s">
        <v>399</v>
      </c>
      <c r="D8">
        <v>199.99</v>
      </c>
      <c r="E8">
        <v>360</v>
      </c>
      <c r="F8">
        <v>160</v>
      </c>
      <c r="G8">
        <v>4.4000000000000004</v>
      </c>
      <c r="H8">
        <v>55.552777777777784</v>
      </c>
      <c r="I8">
        <v>373.64793814432994</v>
      </c>
    </row>
    <row r="9" spans="1:10" x14ac:dyDescent="0.3">
      <c r="A9">
        <v>113</v>
      </c>
      <c r="B9" t="s">
        <v>21</v>
      </c>
      <c r="C9" t="s">
        <v>402</v>
      </c>
      <c r="D9">
        <v>159.9</v>
      </c>
      <c r="E9">
        <v>360</v>
      </c>
      <c r="F9">
        <v>139</v>
      </c>
      <c r="G9">
        <v>4.5</v>
      </c>
      <c r="H9">
        <v>44.416666666666671</v>
      </c>
      <c r="I9">
        <v>373.64793814432994</v>
      </c>
    </row>
    <row r="10" spans="1:10" x14ac:dyDescent="0.3">
      <c r="A10">
        <v>86</v>
      </c>
      <c r="B10" t="s">
        <v>225</v>
      </c>
      <c r="C10" t="s">
        <v>332</v>
      </c>
      <c r="D10">
        <v>806.65</v>
      </c>
      <c r="E10">
        <v>400</v>
      </c>
      <c r="F10">
        <v>180</v>
      </c>
      <c r="G10">
        <v>4.0999999999999996</v>
      </c>
      <c r="H10">
        <v>201.66249999999999</v>
      </c>
      <c r="I10">
        <v>373.64793814432994</v>
      </c>
    </row>
    <row r="11" spans="1:10" x14ac:dyDescent="0.3">
      <c r="A11">
        <v>101</v>
      </c>
      <c r="B11" t="s">
        <v>37</v>
      </c>
      <c r="C11" t="s">
        <v>435</v>
      </c>
      <c r="D11">
        <v>149</v>
      </c>
      <c r="E11">
        <v>500</v>
      </c>
      <c r="F11">
        <v>112</v>
      </c>
      <c r="G11">
        <v>4.5999999999999996</v>
      </c>
      <c r="H11">
        <v>29.799999999999997</v>
      </c>
      <c r="I11">
        <v>373.64793814432994</v>
      </c>
    </row>
    <row r="12" spans="1:10" x14ac:dyDescent="0.3">
      <c r="A12">
        <v>44</v>
      </c>
      <c r="B12" t="s">
        <v>231</v>
      </c>
      <c r="C12" t="s">
        <v>397</v>
      </c>
      <c r="D12">
        <v>223.92</v>
      </c>
      <c r="E12">
        <v>400</v>
      </c>
      <c r="F12">
        <v>361</v>
      </c>
      <c r="G12">
        <v>4.8</v>
      </c>
      <c r="H12">
        <v>55.98</v>
      </c>
      <c r="I12">
        <v>373.64793814432994</v>
      </c>
    </row>
    <row r="13" spans="1:10" x14ac:dyDescent="0.3">
      <c r="A13">
        <v>61</v>
      </c>
      <c r="B13" t="s">
        <v>234</v>
      </c>
      <c r="C13" t="s">
        <v>436</v>
      </c>
      <c r="D13">
        <v>274</v>
      </c>
      <c r="E13">
        <v>350</v>
      </c>
      <c r="F13">
        <v>261</v>
      </c>
      <c r="G13">
        <v>4.7</v>
      </c>
      <c r="H13">
        <v>78.285714285714278</v>
      </c>
      <c r="I13">
        <v>373.64793814432994</v>
      </c>
    </row>
    <row r="14" spans="1:10" x14ac:dyDescent="0.3">
      <c r="A14">
        <v>15</v>
      </c>
      <c r="B14" t="s">
        <v>47</v>
      </c>
      <c r="C14" t="s">
        <v>372</v>
      </c>
      <c r="D14">
        <v>399</v>
      </c>
      <c r="E14">
        <v>400</v>
      </c>
      <c r="F14">
        <v>1447</v>
      </c>
      <c r="G14">
        <v>4.2</v>
      </c>
      <c r="H14">
        <v>99.75</v>
      </c>
      <c r="I14">
        <v>373.64793814432994</v>
      </c>
    </row>
    <row r="15" spans="1:10" x14ac:dyDescent="0.3">
      <c r="A15">
        <v>88</v>
      </c>
      <c r="B15" t="s">
        <v>329</v>
      </c>
      <c r="C15" t="s">
        <v>434</v>
      </c>
      <c r="D15">
        <v>999.9</v>
      </c>
      <c r="E15">
        <v>300</v>
      </c>
      <c r="F15">
        <v>253</v>
      </c>
      <c r="G15">
        <v>4.3</v>
      </c>
      <c r="H15">
        <v>333.29999999999995</v>
      </c>
      <c r="I15">
        <v>373.64793814432994</v>
      </c>
    </row>
    <row r="16" spans="1:10" x14ac:dyDescent="0.3">
      <c r="A16">
        <v>104</v>
      </c>
      <c r="B16" t="s">
        <v>215</v>
      </c>
      <c r="C16" t="s">
        <v>216</v>
      </c>
      <c r="D16">
        <v>181.94</v>
      </c>
      <c r="E16">
        <v>1000</v>
      </c>
      <c r="F16">
        <v>150</v>
      </c>
      <c r="G16">
        <v>4.2</v>
      </c>
      <c r="H16">
        <v>18.193999999999999</v>
      </c>
      <c r="I16">
        <v>373.64793814432994</v>
      </c>
    </row>
    <row r="17" spans="1:9" x14ac:dyDescent="0.3">
      <c r="A17">
        <v>106</v>
      </c>
      <c r="B17" t="s">
        <v>58</v>
      </c>
      <c r="C17" t="s">
        <v>348</v>
      </c>
      <c r="D17">
        <v>314.89999999999998</v>
      </c>
      <c r="E17">
        <v>200</v>
      </c>
      <c r="F17">
        <v>148</v>
      </c>
      <c r="G17">
        <v>4.0999999999999996</v>
      </c>
      <c r="H17">
        <v>157.44999999999999</v>
      </c>
      <c r="I17">
        <v>373.64793814432994</v>
      </c>
    </row>
    <row r="18" spans="1:9" x14ac:dyDescent="0.3">
      <c r="A18">
        <v>38</v>
      </c>
      <c r="B18" t="s">
        <v>240</v>
      </c>
      <c r="C18" t="s">
        <v>383</v>
      </c>
      <c r="D18">
        <v>326.27</v>
      </c>
      <c r="E18">
        <v>400</v>
      </c>
      <c r="F18">
        <v>447</v>
      </c>
      <c r="G18">
        <v>4.7</v>
      </c>
      <c r="H18">
        <v>81.567499999999995</v>
      </c>
      <c r="I18">
        <v>373.64793814432994</v>
      </c>
    </row>
    <row r="19" spans="1:9" x14ac:dyDescent="0.3">
      <c r="A19">
        <v>100</v>
      </c>
      <c r="B19" t="s">
        <v>412</v>
      </c>
      <c r="C19" t="s">
        <v>413</v>
      </c>
      <c r="D19">
        <v>608</v>
      </c>
      <c r="E19">
        <v>330</v>
      </c>
      <c r="F19">
        <v>156</v>
      </c>
      <c r="G19">
        <v>4.2</v>
      </c>
      <c r="H19">
        <v>184.24242424242425</v>
      </c>
      <c r="I19">
        <v>373.64793814432994</v>
      </c>
    </row>
    <row r="20" spans="1:9" x14ac:dyDescent="0.3">
      <c r="A20">
        <v>31</v>
      </c>
      <c r="B20" t="s">
        <v>351</v>
      </c>
      <c r="C20" t="s">
        <v>430</v>
      </c>
      <c r="D20">
        <v>184.9</v>
      </c>
      <c r="E20">
        <v>800</v>
      </c>
      <c r="F20">
        <v>2270</v>
      </c>
      <c r="G20">
        <v>4.5</v>
      </c>
      <c r="H20">
        <v>23.112500000000001</v>
      </c>
      <c r="I20">
        <v>373.64793814432994</v>
      </c>
    </row>
    <row r="21" spans="1:9" x14ac:dyDescent="0.3">
      <c r="A21">
        <v>46</v>
      </c>
      <c r="B21" t="s">
        <v>62</v>
      </c>
      <c r="C21" t="s">
        <v>437</v>
      </c>
      <c r="D21">
        <v>159.55000000000001</v>
      </c>
      <c r="E21">
        <v>400</v>
      </c>
      <c r="F21">
        <v>20</v>
      </c>
      <c r="G21">
        <v>4.7</v>
      </c>
      <c r="H21">
        <v>39.887500000000003</v>
      </c>
      <c r="I21">
        <v>373.64793814432994</v>
      </c>
    </row>
    <row r="22" spans="1:9" x14ac:dyDescent="0.3">
      <c r="A22">
        <v>6</v>
      </c>
      <c r="B22" t="s">
        <v>70</v>
      </c>
      <c r="C22" t="s">
        <v>393</v>
      </c>
      <c r="D22">
        <v>190.38</v>
      </c>
      <c r="E22">
        <v>300</v>
      </c>
      <c r="F22">
        <v>2950</v>
      </c>
      <c r="G22">
        <v>4.4000000000000004</v>
      </c>
      <c r="H22">
        <v>63.459999999999994</v>
      </c>
      <c r="I22">
        <v>373.64793814432994</v>
      </c>
    </row>
    <row r="23" spans="1:9" x14ac:dyDescent="0.3">
      <c r="A23">
        <v>22</v>
      </c>
      <c r="B23" t="s">
        <v>70</v>
      </c>
      <c r="C23" t="s">
        <v>398</v>
      </c>
      <c r="D23">
        <v>167.94</v>
      </c>
      <c r="E23">
        <v>300</v>
      </c>
      <c r="F23">
        <v>1131</v>
      </c>
      <c r="G23">
        <v>4.5999999999999996</v>
      </c>
      <c r="H23">
        <v>55.98</v>
      </c>
      <c r="I23">
        <v>373.64793814432994</v>
      </c>
    </row>
    <row r="24" spans="1:9" x14ac:dyDescent="0.3">
      <c r="A24">
        <v>52</v>
      </c>
      <c r="B24" t="s">
        <v>70</v>
      </c>
      <c r="C24" t="s">
        <v>386</v>
      </c>
      <c r="D24">
        <v>279.89999999999998</v>
      </c>
      <c r="E24">
        <v>360</v>
      </c>
      <c r="F24">
        <v>303</v>
      </c>
      <c r="G24">
        <v>4.5999999999999996</v>
      </c>
      <c r="H24">
        <v>77.75</v>
      </c>
      <c r="I24">
        <v>373.64793814432994</v>
      </c>
    </row>
    <row r="25" spans="1:9" x14ac:dyDescent="0.3">
      <c r="A25">
        <v>90</v>
      </c>
      <c r="B25" t="s">
        <v>70</v>
      </c>
      <c r="C25" t="s">
        <v>347</v>
      </c>
      <c r="D25">
        <v>316.35000000000002</v>
      </c>
      <c r="E25">
        <v>200</v>
      </c>
      <c r="F25">
        <v>171</v>
      </c>
      <c r="G25">
        <v>4.5</v>
      </c>
      <c r="H25">
        <v>158.17500000000001</v>
      </c>
      <c r="I25">
        <v>373.64793814432994</v>
      </c>
    </row>
    <row r="26" spans="1:9" x14ac:dyDescent="0.3">
      <c r="A26">
        <v>1</v>
      </c>
      <c r="B26" t="s">
        <v>82</v>
      </c>
      <c r="C26" t="s">
        <v>379</v>
      </c>
      <c r="D26">
        <v>347.65</v>
      </c>
      <c r="E26">
        <v>400</v>
      </c>
      <c r="F26">
        <v>75277</v>
      </c>
      <c r="G26">
        <v>4.0999999999999996</v>
      </c>
      <c r="H26">
        <v>86.912499999999994</v>
      </c>
      <c r="I26">
        <v>373.64793814432994</v>
      </c>
    </row>
    <row r="27" spans="1:9" x14ac:dyDescent="0.3">
      <c r="A27">
        <v>27</v>
      </c>
      <c r="B27" t="s">
        <v>387</v>
      </c>
      <c r="C27" t="s">
        <v>396</v>
      </c>
      <c r="D27">
        <v>230.2</v>
      </c>
      <c r="E27">
        <v>400</v>
      </c>
      <c r="F27">
        <v>735</v>
      </c>
      <c r="G27">
        <v>4.0999999999999996</v>
      </c>
      <c r="H27">
        <v>57.550000000000004</v>
      </c>
      <c r="I27">
        <v>373.64793814432994</v>
      </c>
    </row>
    <row r="28" spans="1:9" x14ac:dyDescent="0.3">
      <c r="A28">
        <v>66</v>
      </c>
      <c r="B28" t="s">
        <v>387</v>
      </c>
      <c r="C28" t="s">
        <v>388</v>
      </c>
      <c r="D28">
        <v>284.10000000000002</v>
      </c>
      <c r="E28">
        <v>400</v>
      </c>
      <c r="F28">
        <v>254</v>
      </c>
      <c r="G28">
        <v>4.0999999999999996</v>
      </c>
      <c r="H28">
        <v>71.025000000000006</v>
      </c>
      <c r="I28">
        <v>373.64793814432994</v>
      </c>
    </row>
    <row r="29" spans="1:9" x14ac:dyDescent="0.3">
      <c r="A29">
        <v>74</v>
      </c>
      <c r="B29" t="s">
        <v>387</v>
      </c>
      <c r="C29" t="s">
        <v>405</v>
      </c>
      <c r="D29">
        <v>136.9</v>
      </c>
      <c r="E29">
        <v>400</v>
      </c>
      <c r="F29">
        <v>198</v>
      </c>
      <c r="G29">
        <v>4.5</v>
      </c>
      <c r="H29">
        <v>34.225000000000001</v>
      </c>
      <c r="I29">
        <v>373.64793814432994</v>
      </c>
    </row>
    <row r="30" spans="1:9" x14ac:dyDescent="0.3">
      <c r="A30">
        <v>105</v>
      </c>
      <c r="B30" t="s">
        <v>380</v>
      </c>
      <c r="C30" t="s">
        <v>381</v>
      </c>
      <c r="D30">
        <v>342.9</v>
      </c>
      <c r="E30">
        <v>400</v>
      </c>
      <c r="F30">
        <v>149</v>
      </c>
      <c r="G30">
        <v>5</v>
      </c>
      <c r="H30">
        <v>85.724999999999994</v>
      </c>
      <c r="I30">
        <v>373.64793814432994</v>
      </c>
    </row>
    <row r="31" spans="1:9" x14ac:dyDescent="0.3">
      <c r="A31">
        <v>30</v>
      </c>
      <c r="B31" t="s">
        <v>93</v>
      </c>
      <c r="C31" t="s">
        <v>438</v>
      </c>
      <c r="D31">
        <v>120.17</v>
      </c>
      <c r="E31">
        <v>400</v>
      </c>
      <c r="F31">
        <v>275</v>
      </c>
      <c r="G31">
        <v>4.5999999999999996</v>
      </c>
      <c r="H31">
        <v>30.0425</v>
      </c>
      <c r="I31">
        <v>373.64793814432994</v>
      </c>
    </row>
    <row r="32" spans="1:9" x14ac:dyDescent="0.3">
      <c r="A32">
        <v>9</v>
      </c>
      <c r="B32" t="s">
        <v>364</v>
      </c>
      <c r="C32" t="s">
        <v>369</v>
      </c>
      <c r="D32">
        <v>347.9</v>
      </c>
      <c r="E32">
        <v>340</v>
      </c>
      <c r="F32">
        <v>2509</v>
      </c>
      <c r="G32">
        <v>4.5999999999999996</v>
      </c>
      <c r="H32">
        <v>102.3235294117647</v>
      </c>
      <c r="I32">
        <v>373.64793814432994</v>
      </c>
    </row>
    <row r="33" spans="1:9" x14ac:dyDescent="0.3">
      <c r="A33">
        <v>12</v>
      </c>
      <c r="B33" t="s">
        <v>364</v>
      </c>
      <c r="C33" t="s">
        <v>365</v>
      </c>
      <c r="D33">
        <v>364</v>
      </c>
      <c r="E33">
        <v>340</v>
      </c>
      <c r="F33">
        <v>1695</v>
      </c>
      <c r="G33">
        <v>4.5999999999999996</v>
      </c>
      <c r="H33">
        <v>107.05882352941177</v>
      </c>
      <c r="I33">
        <v>373.64793814432994</v>
      </c>
    </row>
    <row r="34" spans="1:9" x14ac:dyDescent="0.3">
      <c r="A34">
        <v>17</v>
      </c>
      <c r="B34" t="s">
        <v>364</v>
      </c>
      <c r="C34" t="s">
        <v>368</v>
      </c>
      <c r="D34">
        <v>347.9</v>
      </c>
      <c r="E34">
        <v>340</v>
      </c>
      <c r="F34">
        <v>1375</v>
      </c>
      <c r="G34">
        <v>4.3</v>
      </c>
      <c r="H34">
        <v>102.3235294117647</v>
      </c>
      <c r="I34">
        <v>373.64793814432994</v>
      </c>
    </row>
    <row r="35" spans="1:9" x14ac:dyDescent="0.3">
      <c r="A35">
        <v>39</v>
      </c>
      <c r="B35" t="s">
        <v>100</v>
      </c>
      <c r="C35" t="s">
        <v>395</v>
      </c>
      <c r="D35">
        <v>178.5</v>
      </c>
      <c r="E35">
        <v>300</v>
      </c>
      <c r="F35">
        <v>441</v>
      </c>
      <c r="G35">
        <v>4.5</v>
      </c>
      <c r="H35">
        <v>59.5</v>
      </c>
      <c r="I35">
        <v>373.64793814432994</v>
      </c>
    </row>
    <row r="36" spans="1:9" x14ac:dyDescent="0.3">
      <c r="A36">
        <v>59</v>
      </c>
      <c r="B36" t="s">
        <v>100</v>
      </c>
      <c r="C36" t="s">
        <v>424</v>
      </c>
      <c r="D36">
        <v>367.5</v>
      </c>
      <c r="E36">
        <v>800</v>
      </c>
      <c r="F36">
        <v>285</v>
      </c>
      <c r="G36">
        <v>4.5999999999999996</v>
      </c>
      <c r="H36">
        <v>45.9375</v>
      </c>
      <c r="I36">
        <v>373.64793814432994</v>
      </c>
    </row>
    <row r="37" spans="1:9" x14ac:dyDescent="0.3">
      <c r="A37">
        <v>87</v>
      </c>
      <c r="B37" t="s">
        <v>100</v>
      </c>
      <c r="C37" t="s">
        <v>394</v>
      </c>
      <c r="D37">
        <v>178.5</v>
      </c>
      <c r="E37">
        <v>300</v>
      </c>
      <c r="F37">
        <v>179</v>
      </c>
      <c r="G37">
        <v>4.4000000000000004</v>
      </c>
      <c r="H37">
        <v>59.5</v>
      </c>
      <c r="I37">
        <v>373.64793814432994</v>
      </c>
    </row>
    <row r="38" spans="1:9" x14ac:dyDescent="0.3">
      <c r="A38">
        <v>115</v>
      </c>
      <c r="B38" t="s">
        <v>100</v>
      </c>
      <c r="C38" t="s">
        <v>373</v>
      </c>
      <c r="D38">
        <v>349</v>
      </c>
      <c r="E38">
        <v>350</v>
      </c>
      <c r="F38">
        <v>139</v>
      </c>
      <c r="G38">
        <v>4.5</v>
      </c>
      <c r="H38">
        <v>99.714285714285708</v>
      </c>
      <c r="I38">
        <v>373.64793814432994</v>
      </c>
    </row>
    <row r="39" spans="1:9" x14ac:dyDescent="0.3">
      <c r="A39">
        <v>112</v>
      </c>
      <c r="B39" t="s">
        <v>105</v>
      </c>
      <c r="C39" t="s">
        <v>357</v>
      </c>
      <c r="D39">
        <v>510.12</v>
      </c>
      <c r="E39">
        <v>400</v>
      </c>
      <c r="F39">
        <v>142</v>
      </c>
      <c r="G39">
        <v>4.5999999999999996</v>
      </c>
      <c r="H39">
        <v>127.53000000000002</v>
      </c>
      <c r="I39">
        <v>373.64793814432994</v>
      </c>
    </row>
    <row r="40" spans="1:9" x14ac:dyDescent="0.3">
      <c r="A40">
        <v>64</v>
      </c>
      <c r="B40" t="s">
        <v>354</v>
      </c>
      <c r="C40" t="s">
        <v>355</v>
      </c>
      <c r="D40">
        <v>498</v>
      </c>
      <c r="E40">
        <v>350</v>
      </c>
      <c r="F40">
        <v>260</v>
      </c>
      <c r="G40">
        <v>4.9000000000000004</v>
      </c>
      <c r="H40">
        <v>142.28571428571428</v>
      </c>
      <c r="I40">
        <v>373.64793814432994</v>
      </c>
    </row>
    <row r="41" spans="1:9" x14ac:dyDescent="0.3">
      <c r="A41">
        <v>82</v>
      </c>
      <c r="B41" t="s">
        <v>108</v>
      </c>
      <c r="C41" t="s">
        <v>419</v>
      </c>
      <c r="D41">
        <v>400</v>
      </c>
      <c r="E41">
        <v>675</v>
      </c>
      <c r="F41">
        <v>190</v>
      </c>
      <c r="G41">
        <v>4.4000000000000004</v>
      </c>
      <c r="H41">
        <v>59.259259259259252</v>
      </c>
      <c r="I41">
        <v>373.64793814432994</v>
      </c>
    </row>
    <row r="42" spans="1:9" x14ac:dyDescent="0.3">
      <c r="A42">
        <v>60</v>
      </c>
      <c r="B42" t="s">
        <v>431</v>
      </c>
      <c r="C42" t="s">
        <v>432</v>
      </c>
      <c r="D42">
        <v>650</v>
      </c>
      <c r="E42">
        <v>250</v>
      </c>
      <c r="F42">
        <v>283</v>
      </c>
      <c r="G42">
        <v>4.5999999999999996</v>
      </c>
      <c r="H42">
        <v>260</v>
      </c>
      <c r="I42">
        <v>373.64793814432994</v>
      </c>
    </row>
    <row r="43" spans="1:9" x14ac:dyDescent="0.3">
      <c r="A43">
        <v>37</v>
      </c>
      <c r="B43" t="s">
        <v>271</v>
      </c>
      <c r="C43" t="s">
        <v>377</v>
      </c>
      <c r="D43">
        <v>449.1</v>
      </c>
      <c r="E43">
        <v>500</v>
      </c>
      <c r="F43">
        <v>459</v>
      </c>
      <c r="G43">
        <v>4.8</v>
      </c>
      <c r="H43">
        <v>89.82</v>
      </c>
      <c r="I43">
        <v>373.64793814432994</v>
      </c>
    </row>
    <row r="44" spans="1:9" x14ac:dyDescent="0.3">
      <c r="A44">
        <v>102</v>
      </c>
      <c r="B44" t="s">
        <v>271</v>
      </c>
      <c r="C44" t="s">
        <v>333</v>
      </c>
      <c r="D44">
        <v>494.1</v>
      </c>
      <c r="E44">
        <v>250</v>
      </c>
      <c r="F44">
        <v>151</v>
      </c>
      <c r="G44">
        <v>4.8</v>
      </c>
      <c r="H44">
        <v>197.64000000000001</v>
      </c>
      <c r="I44">
        <v>373.64793814432994</v>
      </c>
    </row>
    <row r="45" spans="1:9" x14ac:dyDescent="0.3">
      <c r="A45">
        <v>93</v>
      </c>
      <c r="B45" t="s">
        <v>391</v>
      </c>
      <c r="C45" t="s">
        <v>392</v>
      </c>
      <c r="D45">
        <v>197.9</v>
      </c>
      <c r="E45">
        <v>300</v>
      </c>
      <c r="F45">
        <v>164</v>
      </c>
      <c r="G45">
        <v>4.3</v>
      </c>
      <c r="H45">
        <v>65.966666666666669</v>
      </c>
      <c r="I45">
        <v>373.64793814432994</v>
      </c>
    </row>
    <row r="46" spans="1:9" x14ac:dyDescent="0.3">
      <c r="A46">
        <v>40</v>
      </c>
      <c r="B46" t="s">
        <v>114</v>
      </c>
      <c r="C46" t="s">
        <v>342</v>
      </c>
      <c r="D46">
        <v>499</v>
      </c>
      <c r="E46">
        <v>300</v>
      </c>
      <c r="F46">
        <v>436</v>
      </c>
      <c r="G46">
        <v>4.0999999999999996</v>
      </c>
      <c r="H46">
        <v>166.33333333333334</v>
      </c>
      <c r="I46">
        <v>373.64793814432994</v>
      </c>
    </row>
    <row r="47" spans="1:9" x14ac:dyDescent="0.3">
      <c r="A47">
        <v>110</v>
      </c>
      <c r="B47" t="s">
        <v>276</v>
      </c>
      <c r="C47" t="s">
        <v>337</v>
      </c>
      <c r="D47">
        <v>949.05</v>
      </c>
      <c r="E47">
        <v>500</v>
      </c>
      <c r="F47">
        <v>144</v>
      </c>
      <c r="G47">
        <v>4.5</v>
      </c>
      <c r="H47">
        <v>189.81</v>
      </c>
      <c r="I47">
        <v>373.64793814432994</v>
      </c>
    </row>
    <row r="48" spans="1:9" x14ac:dyDescent="0.3">
      <c r="A48">
        <v>109</v>
      </c>
      <c r="B48" t="s">
        <v>117</v>
      </c>
      <c r="C48" t="s">
        <v>367</v>
      </c>
      <c r="D48">
        <v>513.4</v>
      </c>
      <c r="E48">
        <v>500</v>
      </c>
      <c r="F48">
        <v>145</v>
      </c>
      <c r="G48">
        <v>4.5</v>
      </c>
      <c r="H48">
        <v>102.67999999999999</v>
      </c>
      <c r="I48">
        <v>373.64793814432994</v>
      </c>
    </row>
    <row r="49" spans="1:9" x14ac:dyDescent="0.3">
      <c r="A49">
        <v>28</v>
      </c>
      <c r="B49" t="s">
        <v>279</v>
      </c>
      <c r="C49" t="s">
        <v>356</v>
      </c>
      <c r="D49">
        <v>331.55</v>
      </c>
      <c r="E49">
        <v>250</v>
      </c>
      <c r="F49">
        <v>719</v>
      </c>
      <c r="G49">
        <v>4.4000000000000004</v>
      </c>
      <c r="H49">
        <v>132.62</v>
      </c>
      <c r="I49">
        <v>373.64793814432994</v>
      </c>
    </row>
    <row r="50" spans="1:9" x14ac:dyDescent="0.3">
      <c r="A50">
        <v>114</v>
      </c>
      <c r="B50" t="s">
        <v>282</v>
      </c>
      <c r="C50" t="s">
        <v>360</v>
      </c>
      <c r="D50">
        <v>456.35</v>
      </c>
      <c r="E50">
        <v>400</v>
      </c>
      <c r="F50">
        <v>139</v>
      </c>
      <c r="G50">
        <v>4.9000000000000004</v>
      </c>
      <c r="H50">
        <v>114.08750000000001</v>
      </c>
      <c r="I50">
        <v>373.64793814432994</v>
      </c>
    </row>
    <row r="51" spans="1:9" x14ac:dyDescent="0.3">
      <c r="A51">
        <v>48</v>
      </c>
      <c r="B51" t="s">
        <v>120</v>
      </c>
      <c r="C51" t="s">
        <v>121</v>
      </c>
      <c r="D51">
        <v>299</v>
      </c>
      <c r="E51">
        <v>250</v>
      </c>
      <c r="F51">
        <v>314</v>
      </c>
      <c r="G51">
        <v>4.2</v>
      </c>
      <c r="H51">
        <v>119.6</v>
      </c>
      <c r="I51">
        <v>373.64793814432994</v>
      </c>
    </row>
    <row r="52" spans="1:9" x14ac:dyDescent="0.3">
      <c r="A52">
        <v>79</v>
      </c>
      <c r="B52" t="s">
        <v>374</v>
      </c>
      <c r="C52" t="s">
        <v>375</v>
      </c>
      <c r="D52">
        <v>482.46</v>
      </c>
      <c r="E52">
        <v>500</v>
      </c>
      <c r="F52">
        <v>193</v>
      </c>
      <c r="G52">
        <v>4.9000000000000004</v>
      </c>
      <c r="H52">
        <v>96.492000000000004</v>
      </c>
      <c r="I52">
        <v>373.64793814432994</v>
      </c>
    </row>
    <row r="53" spans="1:9" x14ac:dyDescent="0.3">
      <c r="A53">
        <v>84</v>
      </c>
      <c r="B53" t="s">
        <v>374</v>
      </c>
      <c r="C53" t="s">
        <v>376</v>
      </c>
      <c r="D53">
        <v>468.35</v>
      </c>
      <c r="E53">
        <v>500</v>
      </c>
      <c r="F53">
        <v>184</v>
      </c>
      <c r="G53">
        <v>4.9000000000000004</v>
      </c>
      <c r="H53">
        <v>93.670000000000016</v>
      </c>
      <c r="I53">
        <v>373.64793814432994</v>
      </c>
    </row>
    <row r="54" spans="1:9" x14ac:dyDescent="0.3">
      <c r="A54">
        <v>116</v>
      </c>
      <c r="B54" t="s">
        <v>374</v>
      </c>
      <c r="C54" t="s">
        <v>389</v>
      </c>
      <c r="D54">
        <v>350</v>
      </c>
      <c r="E54">
        <v>500</v>
      </c>
      <c r="F54">
        <v>137</v>
      </c>
      <c r="G54">
        <v>4.8</v>
      </c>
      <c r="H54">
        <v>70</v>
      </c>
      <c r="I54">
        <v>373.64793814432994</v>
      </c>
    </row>
    <row r="55" spans="1:9" x14ac:dyDescent="0.3">
      <c r="A55">
        <v>2</v>
      </c>
      <c r="B55" t="s">
        <v>129</v>
      </c>
      <c r="C55" t="s">
        <v>359</v>
      </c>
      <c r="D55">
        <v>467</v>
      </c>
      <c r="E55">
        <v>400</v>
      </c>
      <c r="F55">
        <v>8325</v>
      </c>
      <c r="G55">
        <v>4</v>
      </c>
      <c r="H55">
        <v>116.75</v>
      </c>
    </row>
    <row r="56" spans="1:9" x14ac:dyDescent="0.3">
      <c r="A56">
        <v>85</v>
      </c>
      <c r="B56" t="s">
        <v>134</v>
      </c>
      <c r="C56" t="s">
        <v>423</v>
      </c>
      <c r="D56">
        <v>549</v>
      </c>
      <c r="E56">
        <v>250</v>
      </c>
      <c r="F56">
        <v>181</v>
      </c>
      <c r="G56">
        <v>4.3</v>
      </c>
      <c r="H56">
        <v>219.60000000000002</v>
      </c>
      <c r="I56">
        <v>373.64793814432994</v>
      </c>
    </row>
    <row r="57" spans="1:9" x14ac:dyDescent="0.3">
      <c r="A57">
        <v>95</v>
      </c>
      <c r="B57" t="s">
        <v>287</v>
      </c>
      <c r="C57" t="s">
        <v>328</v>
      </c>
      <c r="D57">
        <v>703</v>
      </c>
      <c r="E57">
        <v>250</v>
      </c>
      <c r="F57">
        <v>160</v>
      </c>
      <c r="G57">
        <v>5</v>
      </c>
      <c r="H57">
        <v>281.2</v>
      </c>
      <c r="I57">
        <v>373.64793814432994</v>
      </c>
    </row>
    <row r="58" spans="1:9" x14ac:dyDescent="0.3">
      <c r="A58">
        <v>96</v>
      </c>
      <c r="B58" t="s">
        <v>137</v>
      </c>
      <c r="C58" t="s">
        <v>408</v>
      </c>
      <c r="D58">
        <v>499</v>
      </c>
      <c r="E58">
        <v>400</v>
      </c>
      <c r="F58">
        <v>158</v>
      </c>
      <c r="G58">
        <v>4.2</v>
      </c>
      <c r="H58">
        <v>124.75</v>
      </c>
      <c r="I58">
        <v>373.64793814432994</v>
      </c>
    </row>
    <row r="59" spans="1:9" x14ac:dyDescent="0.3">
      <c r="A59">
        <v>72</v>
      </c>
      <c r="B59" t="s">
        <v>425</v>
      </c>
      <c r="C59" t="s">
        <v>426</v>
      </c>
      <c r="D59">
        <v>236.55</v>
      </c>
      <c r="E59">
        <v>355</v>
      </c>
      <c r="F59">
        <v>227</v>
      </c>
      <c r="G59">
        <v>4.2</v>
      </c>
      <c r="H59">
        <v>66.633802816901408</v>
      </c>
      <c r="I59">
        <v>373.64793814432994</v>
      </c>
    </row>
    <row r="60" spans="1:9" x14ac:dyDescent="0.3">
      <c r="A60">
        <v>7</v>
      </c>
      <c r="B60" t="s">
        <v>343</v>
      </c>
      <c r="C60" t="s">
        <v>353</v>
      </c>
      <c r="D60">
        <v>363</v>
      </c>
      <c r="E60">
        <v>250</v>
      </c>
      <c r="F60">
        <v>2818</v>
      </c>
      <c r="G60">
        <v>4.5</v>
      </c>
      <c r="H60">
        <v>145.19999999999999</v>
      </c>
      <c r="I60">
        <v>373.64793814432994</v>
      </c>
    </row>
    <row r="61" spans="1:9" x14ac:dyDescent="0.3">
      <c r="A61">
        <v>10</v>
      </c>
      <c r="B61" t="s">
        <v>343</v>
      </c>
      <c r="C61" t="s">
        <v>350</v>
      </c>
      <c r="D61">
        <v>389</v>
      </c>
      <c r="E61">
        <v>250</v>
      </c>
      <c r="F61">
        <v>2172</v>
      </c>
      <c r="G61">
        <v>4.5999999999999996</v>
      </c>
      <c r="H61">
        <v>155.6</v>
      </c>
      <c r="I61">
        <v>373.64793814432994</v>
      </c>
    </row>
    <row r="62" spans="1:9" x14ac:dyDescent="0.3">
      <c r="A62">
        <v>25</v>
      </c>
      <c r="B62" t="s">
        <v>343</v>
      </c>
      <c r="C62" t="s">
        <v>344</v>
      </c>
      <c r="D62">
        <v>399</v>
      </c>
      <c r="E62">
        <v>250</v>
      </c>
      <c r="F62">
        <v>838</v>
      </c>
      <c r="G62">
        <v>4.5</v>
      </c>
      <c r="H62">
        <v>159.60000000000002</v>
      </c>
      <c r="I62">
        <v>373.64793814432994</v>
      </c>
    </row>
    <row r="63" spans="1:9" x14ac:dyDescent="0.3">
      <c r="A63">
        <v>89</v>
      </c>
      <c r="B63" t="s">
        <v>145</v>
      </c>
      <c r="C63" t="s">
        <v>385</v>
      </c>
      <c r="D63">
        <v>319.2</v>
      </c>
      <c r="E63">
        <v>400</v>
      </c>
      <c r="F63">
        <v>173</v>
      </c>
      <c r="G63">
        <v>4.5</v>
      </c>
      <c r="H63">
        <v>79.8</v>
      </c>
      <c r="I63">
        <v>373.64793814432994</v>
      </c>
    </row>
    <row r="64" spans="1:9" x14ac:dyDescent="0.3">
      <c r="A64">
        <v>108</v>
      </c>
      <c r="B64" t="s">
        <v>145</v>
      </c>
      <c r="C64" t="s">
        <v>390</v>
      </c>
      <c r="D64">
        <v>274</v>
      </c>
      <c r="E64">
        <v>400</v>
      </c>
      <c r="F64">
        <v>147</v>
      </c>
      <c r="G64">
        <v>4.4000000000000004</v>
      </c>
      <c r="H64">
        <v>68.5</v>
      </c>
      <c r="I64">
        <v>373.64793814432994</v>
      </c>
    </row>
    <row r="65" spans="1:9" x14ac:dyDescent="0.3">
      <c r="A65">
        <v>62</v>
      </c>
      <c r="B65" t="s">
        <v>150</v>
      </c>
      <c r="C65" t="s">
        <v>384</v>
      </c>
      <c r="D65">
        <v>320</v>
      </c>
      <c r="E65">
        <v>400</v>
      </c>
      <c r="F65">
        <v>269</v>
      </c>
      <c r="G65">
        <v>4.5</v>
      </c>
      <c r="H65">
        <v>80</v>
      </c>
      <c r="I65">
        <v>373.64793814432994</v>
      </c>
    </row>
    <row r="66" spans="1:9" x14ac:dyDescent="0.3">
      <c r="A66">
        <v>56</v>
      </c>
      <c r="B66" t="s">
        <v>409</v>
      </c>
      <c r="C66" t="s">
        <v>410</v>
      </c>
      <c r="D66">
        <v>375</v>
      </c>
      <c r="E66">
        <v>300</v>
      </c>
      <c r="F66">
        <v>296</v>
      </c>
      <c r="G66">
        <v>4.3</v>
      </c>
      <c r="H66">
        <v>125</v>
      </c>
      <c r="I66">
        <v>373.64793814432994</v>
      </c>
    </row>
    <row r="67" spans="1:9" x14ac:dyDescent="0.3">
      <c r="A67">
        <v>55</v>
      </c>
      <c r="B67" t="s">
        <v>293</v>
      </c>
      <c r="C67" t="s">
        <v>429</v>
      </c>
      <c r="D67">
        <v>318.60000000000002</v>
      </c>
      <c r="E67">
        <v>420</v>
      </c>
      <c r="F67">
        <v>298</v>
      </c>
      <c r="G67">
        <v>4.2</v>
      </c>
      <c r="H67">
        <v>75.857142857142861</v>
      </c>
      <c r="I67">
        <v>373.64793814432994</v>
      </c>
    </row>
    <row r="68" spans="1:9" x14ac:dyDescent="0.3">
      <c r="A68">
        <v>70</v>
      </c>
      <c r="B68" t="s">
        <v>296</v>
      </c>
      <c r="C68" t="s">
        <v>349</v>
      </c>
      <c r="D68">
        <v>312.55</v>
      </c>
      <c r="E68">
        <v>200</v>
      </c>
      <c r="F68">
        <v>231</v>
      </c>
      <c r="G68">
        <v>4.9000000000000004</v>
      </c>
      <c r="H68">
        <v>156.27500000000001</v>
      </c>
      <c r="I68">
        <v>373.64793814432994</v>
      </c>
    </row>
    <row r="69" spans="1:9" x14ac:dyDescent="0.3">
      <c r="A69">
        <v>92</v>
      </c>
      <c r="B69" t="s">
        <v>296</v>
      </c>
      <c r="C69" t="s">
        <v>382</v>
      </c>
      <c r="D69">
        <v>416.19</v>
      </c>
      <c r="E69">
        <v>500</v>
      </c>
      <c r="F69">
        <v>166</v>
      </c>
      <c r="G69">
        <v>4.8</v>
      </c>
      <c r="H69">
        <v>83.238</v>
      </c>
      <c r="I69">
        <v>373.64793814432994</v>
      </c>
    </row>
    <row r="70" spans="1:9" x14ac:dyDescent="0.3">
      <c r="A70">
        <v>76</v>
      </c>
      <c r="B70" t="s">
        <v>301</v>
      </c>
      <c r="C70" t="s">
        <v>416</v>
      </c>
      <c r="D70">
        <v>519.91999999999996</v>
      </c>
      <c r="E70">
        <v>400</v>
      </c>
      <c r="F70">
        <v>196</v>
      </c>
      <c r="G70">
        <v>4.4000000000000004</v>
      </c>
      <c r="H70">
        <v>129.97999999999999</v>
      </c>
      <c r="I70">
        <v>373.64793814432994</v>
      </c>
    </row>
    <row r="71" spans="1:9" x14ac:dyDescent="0.3">
      <c r="A71">
        <v>91</v>
      </c>
      <c r="B71" t="s">
        <v>304</v>
      </c>
      <c r="C71" t="s">
        <v>378</v>
      </c>
      <c r="D71">
        <v>351.5</v>
      </c>
      <c r="E71">
        <v>400</v>
      </c>
      <c r="F71">
        <v>169</v>
      </c>
      <c r="G71">
        <v>4.3</v>
      </c>
      <c r="H71">
        <v>87.875</v>
      </c>
      <c r="I71">
        <v>373.64793814432994</v>
      </c>
    </row>
    <row r="72" spans="1:9" x14ac:dyDescent="0.3">
      <c r="A72">
        <v>77</v>
      </c>
      <c r="B72" t="s">
        <v>417</v>
      </c>
      <c r="C72" t="s">
        <v>418</v>
      </c>
      <c r="D72">
        <v>321</v>
      </c>
      <c r="E72">
        <v>390</v>
      </c>
      <c r="F72">
        <v>195</v>
      </c>
      <c r="G72">
        <v>4.5</v>
      </c>
      <c r="H72">
        <v>82.307692307692307</v>
      </c>
      <c r="I72">
        <v>373.64793814432994</v>
      </c>
    </row>
    <row r="73" spans="1:9" x14ac:dyDescent="0.3">
      <c r="A73">
        <v>63</v>
      </c>
      <c r="B73" t="s">
        <v>307</v>
      </c>
      <c r="C73" t="s">
        <v>414</v>
      </c>
      <c r="D73">
        <v>145</v>
      </c>
      <c r="E73">
        <v>750</v>
      </c>
      <c r="F73">
        <v>261</v>
      </c>
      <c r="G73">
        <v>4.4000000000000004</v>
      </c>
      <c r="H73">
        <v>19.333333333333332</v>
      </c>
      <c r="I73">
        <v>373.64793814432994</v>
      </c>
    </row>
    <row r="74" spans="1:9" x14ac:dyDescent="0.3">
      <c r="A74">
        <v>42</v>
      </c>
      <c r="B74" t="s">
        <v>166</v>
      </c>
      <c r="C74" t="s">
        <v>433</v>
      </c>
      <c r="D74">
        <v>459.9</v>
      </c>
      <c r="E74">
        <v>300</v>
      </c>
      <c r="F74">
        <v>188</v>
      </c>
      <c r="G74">
        <v>4.5999999999999996</v>
      </c>
      <c r="H74">
        <v>153.29999999999998</v>
      </c>
      <c r="I74">
        <v>373.64793814432994</v>
      </c>
    </row>
    <row r="75" spans="1:9" x14ac:dyDescent="0.3">
      <c r="A75">
        <v>32</v>
      </c>
      <c r="B75" t="s">
        <v>339</v>
      </c>
      <c r="C75" t="s">
        <v>340</v>
      </c>
      <c r="D75">
        <v>680</v>
      </c>
      <c r="E75">
        <v>400</v>
      </c>
      <c r="F75">
        <v>570</v>
      </c>
      <c r="G75">
        <v>4.9000000000000004</v>
      </c>
      <c r="H75">
        <v>170</v>
      </c>
      <c r="I75">
        <v>373.64793814432994</v>
      </c>
    </row>
    <row r="76" spans="1:9" x14ac:dyDescent="0.3">
      <c r="A76">
        <v>18</v>
      </c>
      <c r="B76" t="s">
        <v>169</v>
      </c>
      <c r="C76" t="s">
        <v>407</v>
      </c>
      <c r="D76">
        <v>252.34</v>
      </c>
      <c r="E76">
        <v>1000</v>
      </c>
      <c r="F76">
        <v>1354</v>
      </c>
      <c r="G76">
        <v>4.5999999999999996</v>
      </c>
      <c r="H76">
        <v>25.234000000000002</v>
      </c>
      <c r="I76">
        <v>373.64793814432994</v>
      </c>
    </row>
    <row r="77" spans="1:9" x14ac:dyDescent="0.3">
      <c r="A77">
        <v>107</v>
      </c>
      <c r="B77" t="s">
        <v>169</v>
      </c>
      <c r="C77" t="s">
        <v>406</v>
      </c>
      <c r="D77">
        <v>148</v>
      </c>
      <c r="E77">
        <v>500</v>
      </c>
      <c r="F77">
        <v>148</v>
      </c>
      <c r="G77">
        <v>4.5</v>
      </c>
      <c r="H77">
        <v>29.599999999999998</v>
      </c>
      <c r="I77">
        <v>373.64793814432994</v>
      </c>
    </row>
    <row r="78" spans="1:9" x14ac:dyDescent="0.3">
      <c r="A78">
        <v>57</v>
      </c>
      <c r="B78" t="s">
        <v>174</v>
      </c>
      <c r="C78" t="s">
        <v>439</v>
      </c>
      <c r="D78">
        <v>132.9</v>
      </c>
      <c r="E78">
        <v>500</v>
      </c>
      <c r="F78">
        <v>2134</v>
      </c>
      <c r="G78">
        <v>4.4000000000000004</v>
      </c>
      <c r="H78">
        <v>26.580000000000005</v>
      </c>
      <c r="I78">
        <v>373.64793814432994</v>
      </c>
    </row>
    <row r="79" spans="1:9" x14ac:dyDescent="0.3">
      <c r="B79" t="s">
        <v>174</v>
      </c>
      <c r="C79" t="s">
        <v>440</v>
      </c>
      <c r="D79">
        <v>194.66</v>
      </c>
      <c r="E79">
        <v>1000</v>
      </c>
      <c r="F79">
        <v>797</v>
      </c>
      <c r="G79">
        <v>4.4000000000000004</v>
      </c>
      <c r="H79">
        <v>19.466000000000001</v>
      </c>
      <c r="I79">
        <v>373.64793814432994</v>
      </c>
    </row>
    <row r="80" spans="1:9" x14ac:dyDescent="0.3">
      <c r="A80">
        <v>34</v>
      </c>
      <c r="B80" t="s">
        <v>174</v>
      </c>
      <c r="C80" t="s">
        <v>428</v>
      </c>
      <c r="D80">
        <v>249</v>
      </c>
      <c r="E80">
        <v>900</v>
      </c>
      <c r="F80">
        <v>206</v>
      </c>
      <c r="G80">
        <v>4.5</v>
      </c>
      <c r="H80">
        <v>27.666666666666668</v>
      </c>
      <c r="I80">
        <v>373.64793814432994</v>
      </c>
    </row>
    <row r="81" spans="1:9" x14ac:dyDescent="0.3">
      <c r="A81">
        <v>111</v>
      </c>
      <c r="B81" t="s">
        <v>179</v>
      </c>
      <c r="C81" t="s">
        <v>362</v>
      </c>
      <c r="D81">
        <v>394.9</v>
      </c>
      <c r="E81">
        <v>360</v>
      </c>
      <c r="F81">
        <v>143</v>
      </c>
      <c r="G81">
        <v>4.5</v>
      </c>
      <c r="H81">
        <v>109.69444444444443</v>
      </c>
      <c r="I81">
        <v>373.64793814432994</v>
      </c>
    </row>
    <row r="82" spans="1:9" x14ac:dyDescent="0.3">
      <c r="A82">
        <v>5</v>
      </c>
      <c r="B82" t="s">
        <v>330</v>
      </c>
      <c r="C82" t="s">
        <v>331</v>
      </c>
      <c r="D82">
        <v>577.9</v>
      </c>
      <c r="E82">
        <v>250</v>
      </c>
      <c r="F82">
        <v>3128</v>
      </c>
      <c r="G82">
        <v>4.4000000000000004</v>
      </c>
      <c r="H82">
        <v>231.16</v>
      </c>
      <c r="I82">
        <v>373.64793814432994</v>
      </c>
    </row>
    <row r="83" spans="1:9" x14ac:dyDescent="0.3">
      <c r="A83">
        <v>29</v>
      </c>
      <c r="B83" t="s">
        <v>330</v>
      </c>
      <c r="C83" t="s">
        <v>336</v>
      </c>
      <c r="D83">
        <v>477.9</v>
      </c>
      <c r="E83">
        <v>250</v>
      </c>
      <c r="F83">
        <v>712</v>
      </c>
      <c r="G83">
        <v>4.8</v>
      </c>
      <c r="H83">
        <v>191.16</v>
      </c>
      <c r="I83">
        <v>373.64793814432994</v>
      </c>
    </row>
    <row r="84" spans="1:9" x14ac:dyDescent="0.3">
      <c r="A84">
        <v>36</v>
      </c>
      <c r="B84" t="s">
        <v>330</v>
      </c>
      <c r="C84" t="s">
        <v>366</v>
      </c>
      <c r="D84">
        <v>426.9</v>
      </c>
      <c r="E84">
        <v>400</v>
      </c>
      <c r="F84">
        <v>477</v>
      </c>
      <c r="G84">
        <v>4.7</v>
      </c>
      <c r="H84">
        <v>106.72500000000001</v>
      </c>
      <c r="I84">
        <v>373.64793814432994</v>
      </c>
    </row>
    <row r="85" spans="1:9" x14ac:dyDescent="0.3">
      <c r="A85">
        <v>35</v>
      </c>
      <c r="B85" t="s">
        <v>318</v>
      </c>
      <c r="C85" t="s">
        <v>338</v>
      </c>
      <c r="D85">
        <v>426.54</v>
      </c>
      <c r="E85">
        <v>250</v>
      </c>
      <c r="F85">
        <v>479</v>
      </c>
      <c r="G85">
        <v>4.9000000000000004</v>
      </c>
      <c r="H85">
        <v>170.61600000000001</v>
      </c>
      <c r="I85">
        <v>373.64793814432994</v>
      </c>
    </row>
    <row r="86" spans="1:9" x14ac:dyDescent="0.3">
      <c r="A86">
        <v>14</v>
      </c>
      <c r="B86" t="s">
        <v>182</v>
      </c>
      <c r="C86" t="s">
        <v>361</v>
      </c>
      <c r="D86">
        <v>399</v>
      </c>
      <c r="E86">
        <v>350</v>
      </c>
      <c r="F86">
        <v>1590</v>
      </c>
      <c r="G86">
        <v>4.3</v>
      </c>
      <c r="H86">
        <v>113.99999999999999</v>
      </c>
      <c r="I86">
        <v>373.64793814432994</v>
      </c>
    </row>
    <row r="87" spans="1:9" x14ac:dyDescent="0.3">
      <c r="A87">
        <v>24</v>
      </c>
      <c r="B87" t="s">
        <v>182</v>
      </c>
      <c r="C87" t="s">
        <v>363</v>
      </c>
      <c r="D87">
        <v>379</v>
      </c>
      <c r="E87">
        <v>350</v>
      </c>
      <c r="F87">
        <v>907</v>
      </c>
      <c r="G87">
        <v>4.3</v>
      </c>
      <c r="H87">
        <v>108.28571428571429</v>
      </c>
      <c r="I87">
        <v>373.64793814432994</v>
      </c>
    </row>
    <row r="88" spans="1:9" x14ac:dyDescent="0.3">
      <c r="A88">
        <v>81</v>
      </c>
      <c r="B88" t="s">
        <v>182</v>
      </c>
      <c r="C88" t="s">
        <v>352</v>
      </c>
      <c r="D88">
        <v>536.41</v>
      </c>
      <c r="E88">
        <v>350</v>
      </c>
      <c r="F88">
        <v>190</v>
      </c>
      <c r="G88">
        <v>4.4000000000000004</v>
      </c>
      <c r="H88">
        <v>153.26</v>
      </c>
      <c r="I88">
        <v>373.64793814432994</v>
      </c>
    </row>
    <row r="89" spans="1:9" x14ac:dyDescent="0.3">
      <c r="A89">
        <v>103</v>
      </c>
      <c r="B89" t="s">
        <v>182</v>
      </c>
      <c r="C89" t="s">
        <v>411</v>
      </c>
      <c r="D89">
        <v>449</v>
      </c>
      <c r="E89">
        <v>350</v>
      </c>
      <c r="F89">
        <v>151</v>
      </c>
      <c r="G89">
        <v>4.3</v>
      </c>
      <c r="H89">
        <v>128.28571428571428</v>
      </c>
      <c r="I89">
        <v>373.64793814432994</v>
      </c>
    </row>
    <row r="90" spans="1:9" x14ac:dyDescent="0.3">
      <c r="A90">
        <v>3</v>
      </c>
      <c r="B90" t="s">
        <v>192</v>
      </c>
      <c r="C90" t="s">
        <v>334</v>
      </c>
      <c r="D90">
        <v>582</v>
      </c>
      <c r="E90">
        <v>300</v>
      </c>
      <c r="F90">
        <v>5420</v>
      </c>
      <c r="G90">
        <v>4.4000000000000004</v>
      </c>
      <c r="H90">
        <v>194</v>
      </c>
      <c r="I90">
        <v>373.64793814432994</v>
      </c>
    </row>
    <row r="91" spans="1:9" x14ac:dyDescent="0.3">
      <c r="A91">
        <v>11</v>
      </c>
      <c r="B91" t="s">
        <v>192</v>
      </c>
      <c r="C91" t="s">
        <v>335</v>
      </c>
      <c r="D91">
        <v>580</v>
      </c>
      <c r="E91">
        <v>300</v>
      </c>
      <c r="F91">
        <v>2059</v>
      </c>
      <c r="G91">
        <v>4.3</v>
      </c>
      <c r="H91">
        <v>193.33333333333334</v>
      </c>
      <c r="I91">
        <v>373.64793814432994</v>
      </c>
    </row>
    <row r="92" spans="1:9" x14ac:dyDescent="0.3">
      <c r="A92">
        <v>4</v>
      </c>
      <c r="B92" t="s">
        <v>194</v>
      </c>
      <c r="C92" t="s">
        <v>341</v>
      </c>
      <c r="D92">
        <v>419</v>
      </c>
      <c r="E92">
        <v>250</v>
      </c>
      <c r="F92">
        <v>4933</v>
      </c>
      <c r="G92">
        <v>4.3</v>
      </c>
      <c r="H92">
        <v>167.6</v>
      </c>
      <c r="I92">
        <v>373.64793814432994</v>
      </c>
    </row>
    <row r="93" spans="1:9" x14ac:dyDescent="0.3">
      <c r="A93">
        <v>16</v>
      </c>
      <c r="B93" t="s">
        <v>198</v>
      </c>
      <c r="C93" t="s">
        <v>358</v>
      </c>
      <c r="D93">
        <v>473.3</v>
      </c>
      <c r="E93">
        <v>400</v>
      </c>
      <c r="F93">
        <v>1410</v>
      </c>
      <c r="G93">
        <v>4.3</v>
      </c>
      <c r="H93">
        <v>118.32500000000002</v>
      </c>
      <c r="I93">
        <v>373.64793814432994</v>
      </c>
    </row>
    <row r="94" spans="1:9" x14ac:dyDescent="0.3">
      <c r="A94">
        <v>21</v>
      </c>
      <c r="B94" t="s">
        <v>198</v>
      </c>
      <c r="C94" t="s">
        <v>400</v>
      </c>
      <c r="D94">
        <v>199.08</v>
      </c>
      <c r="E94">
        <v>400</v>
      </c>
      <c r="F94">
        <v>1147</v>
      </c>
      <c r="G94">
        <v>4.3</v>
      </c>
      <c r="H94">
        <v>49.77</v>
      </c>
      <c r="I94">
        <v>373.64793814432994</v>
      </c>
    </row>
    <row r="95" spans="1:9" x14ac:dyDescent="0.3">
      <c r="A95">
        <v>67</v>
      </c>
      <c r="B95" t="s">
        <v>321</v>
      </c>
      <c r="C95" t="s">
        <v>415</v>
      </c>
      <c r="D95">
        <v>501.93</v>
      </c>
      <c r="E95">
        <v>500</v>
      </c>
      <c r="F95">
        <v>252</v>
      </c>
      <c r="G95">
        <v>4.7</v>
      </c>
      <c r="H95">
        <v>100.386</v>
      </c>
      <c r="I95">
        <v>373.64793814432994</v>
      </c>
    </row>
    <row r="96" spans="1:9" x14ac:dyDescent="0.3">
      <c r="A96">
        <v>83</v>
      </c>
      <c r="B96" t="s">
        <v>321</v>
      </c>
      <c r="C96" t="s">
        <v>420</v>
      </c>
      <c r="D96">
        <v>492.23</v>
      </c>
      <c r="E96">
        <v>500</v>
      </c>
      <c r="F96">
        <v>186</v>
      </c>
      <c r="G96">
        <v>4.8</v>
      </c>
      <c r="H96">
        <v>98.445999999999998</v>
      </c>
      <c r="I96">
        <v>373.64793814432994</v>
      </c>
    </row>
    <row r="97" spans="1:9" x14ac:dyDescent="0.3">
      <c r="A97">
        <v>75</v>
      </c>
      <c r="B97" t="s">
        <v>370</v>
      </c>
      <c r="C97" t="s">
        <v>371</v>
      </c>
      <c r="D97">
        <v>399.9</v>
      </c>
      <c r="E97">
        <v>400</v>
      </c>
      <c r="F97">
        <v>197</v>
      </c>
      <c r="G97">
        <v>4.4000000000000004</v>
      </c>
      <c r="H97">
        <v>99.974999999999994</v>
      </c>
      <c r="I97">
        <v>373.64793814432994</v>
      </c>
    </row>
    <row r="98" spans="1:9" x14ac:dyDescent="0.3">
      <c r="A98">
        <v>71</v>
      </c>
      <c r="B98" t="s">
        <v>207</v>
      </c>
      <c r="C98" t="s">
        <v>427</v>
      </c>
      <c r="D98">
        <v>499</v>
      </c>
      <c r="E98">
        <v>450</v>
      </c>
      <c r="F98">
        <v>228</v>
      </c>
      <c r="G98">
        <v>4.8</v>
      </c>
      <c r="H98">
        <v>110.88888888888889</v>
      </c>
      <c r="I98">
        <v>373.64793814432994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8745-AE0A-4A43-AC0D-A234DB41F2DC}">
  <dimension ref="A3:I95"/>
  <sheetViews>
    <sheetView workbookViewId="0">
      <selection activeCell="M17" sqref="M17"/>
    </sheetView>
  </sheetViews>
  <sheetFormatPr defaultRowHeight="14.4" x14ac:dyDescent="0.3"/>
  <cols>
    <col min="1" max="1" width="34.88671875" bestFit="1" customWidth="1"/>
    <col min="2" max="2" width="14.77734375" bestFit="1" customWidth="1"/>
    <col min="5" max="5" width="32.109375" bestFit="1" customWidth="1"/>
    <col min="6" max="6" width="15.5546875" bestFit="1" customWidth="1"/>
    <col min="8" max="8" width="32.109375" bestFit="1" customWidth="1"/>
    <col min="9" max="9" width="21.5546875" bestFit="1" customWidth="1"/>
  </cols>
  <sheetData>
    <row r="3" spans="1:2" x14ac:dyDescent="0.3">
      <c r="A3" s="4" t="s">
        <v>448</v>
      </c>
      <c r="B3" t="s">
        <v>450</v>
      </c>
    </row>
    <row r="4" spans="1:2" x14ac:dyDescent="0.3">
      <c r="A4" s="5" t="s">
        <v>93</v>
      </c>
      <c r="B4" s="7">
        <v>120.17</v>
      </c>
    </row>
    <row r="5" spans="1:2" x14ac:dyDescent="0.3">
      <c r="A5" s="5" t="s">
        <v>307</v>
      </c>
      <c r="B5" s="7">
        <v>145</v>
      </c>
    </row>
    <row r="6" spans="1:2" x14ac:dyDescent="0.3">
      <c r="A6" s="5" t="s">
        <v>37</v>
      </c>
      <c r="B6" s="7">
        <v>149</v>
      </c>
    </row>
    <row r="7" spans="1:2" x14ac:dyDescent="0.3">
      <c r="A7" s="5" t="s">
        <v>62</v>
      </c>
      <c r="B7" s="7">
        <v>159.55000000000001</v>
      </c>
    </row>
    <row r="8" spans="1:2" x14ac:dyDescent="0.3">
      <c r="A8" s="5" t="s">
        <v>21</v>
      </c>
      <c r="B8" s="7">
        <v>161.45999999999998</v>
      </c>
    </row>
    <row r="9" spans="1:2" x14ac:dyDescent="0.3">
      <c r="A9" s="5" t="s">
        <v>215</v>
      </c>
      <c r="B9" s="7">
        <v>181.94</v>
      </c>
    </row>
    <row r="10" spans="1:2" x14ac:dyDescent="0.3">
      <c r="A10" s="5" t="s">
        <v>351</v>
      </c>
      <c r="B10" s="7">
        <v>184.9</v>
      </c>
    </row>
    <row r="11" spans="1:2" x14ac:dyDescent="0.3">
      <c r="A11" s="5" t="s">
        <v>174</v>
      </c>
      <c r="B11" s="7">
        <v>192.18666666666664</v>
      </c>
    </row>
    <row r="12" spans="1:2" x14ac:dyDescent="0.3">
      <c r="A12" s="5" t="s">
        <v>391</v>
      </c>
      <c r="B12" s="7">
        <v>197.9</v>
      </c>
    </row>
    <row r="13" spans="1:2" x14ac:dyDescent="0.3">
      <c r="A13" s="5" t="s">
        <v>169</v>
      </c>
      <c r="B13" s="7">
        <v>200.17000000000002</v>
      </c>
    </row>
    <row r="14" spans="1:2" x14ac:dyDescent="0.3">
      <c r="A14" s="5" t="s">
        <v>387</v>
      </c>
      <c r="B14" s="7">
        <v>217.06666666666663</v>
      </c>
    </row>
    <row r="15" spans="1:2" x14ac:dyDescent="0.3">
      <c r="A15" s="5" t="s">
        <v>231</v>
      </c>
      <c r="B15" s="7">
        <v>223.92</v>
      </c>
    </row>
    <row r="16" spans="1:2" x14ac:dyDescent="0.3">
      <c r="A16" s="5" t="s">
        <v>425</v>
      </c>
      <c r="B16" s="7">
        <v>236.55</v>
      </c>
    </row>
    <row r="17" spans="1:6" x14ac:dyDescent="0.3">
      <c r="A17" s="5" t="s">
        <v>70</v>
      </c>
      <c r="B17" s="7">
        <v>238.64250000000001</v>
      </c>
    </row>
    <row r="18" spans="1:6" x14ac:dyDescent="0.3">
      <c r="A18" s="5" t="s">
        <v>100</v>
      </c>
      <c r="B18" s="7">
        <v>268.375</v>
      </c>
    </row>
    <row r="19" spans="1:6" x14ac:dyDescent="0.3">
      <c r="A19" s="5" t="s">
        <v>234</v>
      </c>
      <c r="B19" s="7">
        <v>274</v>
      </c>
    </row>
    <row r="20" spans="1:6" x14ac:dyDescent="0.3">
      <c r="A20" s="5" t="s">
        <v>145</v>
      </c>
      <c r="B20" s="7">
        <v>296.60000000000002</v>
      </c>
    </row>
    <row r="21" spans="1:6" x14ac:dyDescent="0.3">
      <c r="A21" s="5" t="s">
        <v>120</v>
      </c>
      <c r="B21" s="7">
        <v>299</v>
      </c>
    </row>
    <row r="22" spans="1:6" x14ac:dyDescent="0.3">
      <c r="A22" s="5" t="s">
        <v>421</v>
      </c>
      <c r="B22" s="7">
        <v>303.05</v>
      </c>
      <c r="E22" s="4" t="s">
        <v>448</v>
      </c>
      <c r="F22" t="s">
        <v>451</v>
      </c>
    </row>
    <row r="23" spans="1:6" x14ac:dyDescent="0.3">
      <c r="A23" s="5" t="s">
        <v>58</v>
      </c>
      <c r="B23" s="7">
        <v>314.89999999999998</v>
      </c>
      <c r="E23" s="5" t="s">
        <v>129</v>
      </c>
      <c r="F23">
        <v>4</v>
      </c>
    </row>
    <row r="24" spans="1:6" x14ac:dyDescent="0.3">
      <c r="A24" s="5" t="s">
        <v>293</v>
      </c>
      <c r="B24" s="7">
        <v>318.60000000000002</v>
      </c>
      <c r="E24" s="5" t="s">
        <v>82</v>
      </c>
      <c r="F24">
        <v>4.0999999999999996</v>
      </c>
    </row>
    <row r="25" spans="1:6" x14ac:dyDescent="0.3">
      <c r="A25" s="5" t="s">
        <v>150</v>
      </c>
      <c r="B25" s="7">
        <v>320</v>
      </c>
      <c r="E25" s="5" t="s">
        <v>58</v>
      </c>
      <c r="F25">
        <v>4.0999999999999996</v>
      </c>
    </row>
    <row r="26" spans="1:6" x14ac:dyDescent="0.3">
      <c r="A26" s="5" t="s">
        <v>417</v>
      </c>
      <c r="B26" s="7">
        <v>321</v>
      </c>
      <c r="E26" s="5" t="s">
        <v>225</v>
      </c>
      <c r="F26">
        <v>4.0999999999999996</v>
      </c>
    </row>
    <row r="27" spans="1:6" x14ac:dyDescent="0.3">
      <c r="A27" s="5" t="s">
        <v>240</v>
      </c>
      <c r="B27" s="7">
        <v>326.27</v>
      </c>
      <c r="E27" s="5" t="s">
        <v>114</v>
      </c>
      <c r="F27">
        <v>4.0999999999999996</v>
      </c>
    </row>
    <row r="28" spans="1:6" x14ac:dyDescent="0.3">
      <c r="A28" s="5" t="s">
        <v>279</v>
      </c>
      <c r="B28" s="7">
        <v>331.55</v>
      </c>
      <c r="E28" s="5" t="s">
        <v>47</v>
      </c>
      <c r="F28">
        <v>4.2</v>
      </c>
    </row>
    <row r="29" spans="1:6" x14ac:dyDescent="0.3">
      <c r="A29" s="5" t="s">
        <v>198</v>
      </c>
      <c r="B29" s="7">
        <v>336.19</v>
      </c>
      <c r="E29" s="5" t="s">
        <v>215</v>
      </c>
      <c r="F29">
        <v>4.2</v>
      </c>
    </row>
    <row r="30" spans="1:6" x14ac:dyDescent="0.3">
      <c r="A30" s="5" t="s">
        <v>380</v>
      </c>
      <c r="B30" s="7">
        <v>342.9</v>
      </c>
      <c r="E30" s="5" t="s">
        <v>293</v>
      </c>
      <c r="F30">
        <v>4.2</v>
      </c>
    </row>
    <row r="31" spans="1:6" x14ac:dyDescent="0.3">
      <c r="A31" s="5" t="s">
        <v>82</v>
      </c>
      <c r="B31" s="7">
        <v>347.65</v>
      </c>
      <c r="E31" s="5" t="s">
        <v>120</v>
      </c>
      <c r="F31">
        <v>4.2</v>
      </c>
    </row>
    <row r="32" spans="1:6" x14ac:dyDescent="0.3">
      <c r="A32" s="5" t="s">
        <v>304</v>
      </c>
      <c r="B32" s="7">
        <v>351.5</v>
      </c>
      <c r="E32" s="5" t="s">
        <v>14</v>
      </c>
      <c r="F32">
        <v>4.2</v>
      </c>
    </row>
    <row r="33" spans="1:9" x14ac:dyDescent="0.3">
      <c r="A33" s="5" t="s">
        <v>364</v>
      </c>
      <c r="B33" s="7">
        <v>353.26666666666665</v>
      </c>
      <c r="E33" s="5" t="s">
        <v>412</v>
      </c>
      <c r="F33">
        <v>4.2</v>
      </c>
    </row>
    <row r="34" spans="1:9" x14ac:dyDescent="0.3">
      <c r="A34" s="5" t="s">
        <v>296</v>
      </c>
      <c r="B34" s="7">
        <v>364.37</v>
      </c>
      <c r="E34" s="5" t="s">
        <v>425</v>
      </c>
      <c r="F34">
        <v>4.2</v>
      </c>
    </row>
    <row r="35" spans="1:9" x14ac:dyDescent="0.3">
      <c r="A35" s="5" t="s">
        <v>409</v>
      </c>
      <c r="B35" s="7">
        <v>375</v>
      </c>
      <c r="E35" s="5" t="s">
        <v>137</v>
      </c>
      <c r="F35">
        <v>4.2</v>
      </c>
    </row>
    <row r="36" spans="1:9" x14ac:dyDescent="0.3">
      <c r="A36" s="5" t="s">
        <v>343</v>
      </c>
      <c r="B36" s="7">
        <v>383.66666666666669</v>
      </c>
      <c r="E36" s="5" t="s">
        <v>387</v>
      </c>
      <c r="F36" s="8">
        <v>4.2333333333333334</v>
      </c>
    </row>
    <row r="37" spans="1:9" x14ac:dyDescent="0.3">
      <c r="A37" s="5" t="s">
        <v>179</v>
      </c>
      <c r="B37" s="7">
        <v>394.9</v>
      </c>
      <c r="E37" s="5" t="s">
        <v>391</v>
      </c>
      <c r="F37">
        <v>4.3</v>
      </c>
    </row>
    <row r="38" spans="1:9" x14ac:dyDescent="0.3">
      <c r="A38" s="5" t="s">
        <v>47</v>
      </c>
      <c r="B38" s="7">
        <v>399</v>
      </c>
      <c r="E38" s="5" t="s">
        <v>134</v>
      </c>
      <c r="F38">
        <v>4.3</v>
      </c>
    </row>
    <row r="39" spans="1:9" x14ac:dyDescent="0.3">
      <c r="A39" s="5" t="s">
        <v>14</v>
      </c>
      <c r="B39" s="7">
        <v>399</v>
      </c>
      <c r="E39" s="5" t="s">
        <v>329</v>
      </c>
      <c r="F39">
        <v>4.3</v>
      </c>
    </row>
    <row r="40" spans="1:9" x14ac:dyDescent="0.3">
      <c r="A40" s="5" t="s">
        <v>370</v>
      </c>
      <c r="B40" s="7">
        <v>399.9</v>
      </c>
      <c r="E40" s="5" t="s">
        <v>421</v>
      </c>
      <c r="F40">
        <v>4.3</v>
      </c>
      <c r="H40" s="4" t="s">
        <v>448</v>
      </c>
      <c r="I40" t="s">
        <v>452</v>
      </c>
    </row>
    <row r="41" spans="1:9" x14ac:dyDescent="0.3">
      <c r="A41" s="5" t="s">
        <v>108</v>
      </c>
      <c r="B41" s="7">
        <v>400</v>
      </c>
      <c r="E41" s="5" t="s">
        <v>304</v>
      </c>
      <c r="F41">
        <v>4.3</v>
      </c>
      <c r="H41" s="5" t="s">
        <v>215</v>
      </c>
      <c r="I41" s="6">
        <v>18.193999999999999</v>
      </c>
    </row>
    <row r="42" spans="1:9" x14ac:dyDescent="0.3">
      <c r="A42" s="5" t="s">
        <v>194</v>
      </c>
      <c r="B42" s="7">
        <v>419</v>
      </c>
      <c r="E42" s="5" t="s">
        <v>409</v>
      </c>
      <c r="F42">
        <v>4.3</v>
      </c>
      <c r="H42" s="5" t="s">
        <v>307</v>
      </c>
      <c r="I42" s="6">
        <v>19.333333333333332</v>
      </c>
    </row>
    <row r="43" spans="1:9" x14ac:dyDescent="0.3">
      <c r="A43" s="5" t="s">
        <v>318</v>
      </c>
      <c r="B43" s="7">
        <v>426.54</v>
      </c>
      <c r="E43" s="5" t="s">
        <v>108</v>
      </c>
      <c r="F43">
        <v>4.4000000000000004</v>
      </c>
      <c r="H43" s="5" t="s">
        <v>351</v>
      </c>
      <c r="I43" s="6">
        <v>23.112500000000001</v>
      </c>
    </row>
    <row r="44" spans="1:9" x14ac:dyDescent="0.3">
      <c r="A44" s="5" t="s">
        <v>374</v>
      </c>
      <c r="B44" s="7">
        <v>433.6033333333333</v>
      </c>
      <c r="E44" s="5" t="s">
        <v>279</v>
      </c>
      <c r="F44">
        <v>4.4000000000000004</v>
      </c>
      <c r="H44" s="5" t="s">
        <v>174</v>
      </c>
      <c r="I44" s="6">
        <v>26.580000000000005</v>
      </c>
    </row>
    <row r="45" spans="1:9" x14ac:dyDescent="0.3">
      <c r="A45" s="5" t="s">
        <v>182</v>
      </c>
      <c r="B45" s="7">
        <v>440.85249999999996</v>
      </c>
      <c r="E45" s="5" t="s">
        <v>174</v>
      </c>
      <c r="F45">
        <v>4.4000000000000004</v>
      </c>
      <c r="H45" s="5" t="s">
        <v>169</v>
      </c>
      <c r="I45" s="6">
        <v>27.417000000000002</v>
      </c>
    </row>
    <row r="46" spans="1:9" x14ac:dyDescent="0.3">
      <c r="A46" s="5" t="s">
        <v>282</v>
      </c>
      <c r="B46" s="7">
        <v>456.35</v>
      </c>
      <c r="E46" s="5" t="s">
        <v>301</v>
      </c>
      <c r="F46">
        <v>4.4000000000000004</v>
      </c>
      <c r="H46" s="5" t="s">
        <v>37</v>
      </c>
      <c r="I46" s="6">
        <v>29.799999999999997</v>
      </c>
    </row>
    <row r="47" spans="1:9" x14ac:dyDescent="0.3">
      <c r="A47" s="5" t="s">
        <v>166</v>
      </c>
      <c r="B47" s="7">
        <v>459.9</v>
      </c>
      <c r="E47" s="5" t="s">
        <v>307</v>
      </c>
      <c r="F47">
        <v>4.4000000000000004</v>
      </c>
      <c r="H47" s="5" t="s">
        <v>93</v>
      </c>
      <c r="I47" s="6">
        <v>30.0425</v>
      </c>
    </row>
    <row r="48" spans="1:9" x14ac:dyDescent="0.3">
      <c r="A48" s="5" t="s">
        <v>129</v>
      </c>
      <c r="B48" s="7">
        <v>467</v>
      </c>
      <c r="E48" s="5" t="s">
        <v>145</v>
      </c>
      <c r="F48">
        <v>4.45</v>
      </c>
      <c r="H48" s="5" t="s">
        <v>62</v>
      </c>
      <c r="I48" s="6">
        <v>39.887500000000003</v>
      </c>
    </row>
    <row r="49" spans="1:9" x14ac:dyDescent="0.3">
      <c r="A49" s="5" t="s">
        <v>271</v>
      </c>
      <c r="B49" s="7">
        <v>471.6</v>
      </c>
      <c r="E49" s="5" t="s">
        <v>21</v>
      </c>
      <c r="F49">
        <v>4.5</v>
      </c>
      <c r="H49" s="5" t="s">
        <v>21</v>
      </c>
      <c r="I49" s="6">
        <v>44.85</v>
      </c>
    </row>
    <row r="50" spans="1:9" x14ac:dyDescent="0.3">
      <c r="A50" s="5" t="s">
        <v>330</v>
      </c>
      <c r="B50" s="7">
        <v>494.23333333333329</v>
      </c>
      <c r="E50" s="5" t="s">
        <v>100</v>
      </c>
      <c r="F50">
        <v>4.5</v>
      </c>
      <c r="H50" s="5" t="s">
        <v>387</v>
      </c>
      <c r="I50" s="6">
        <v>54.266666666666673</v>
      </c>
    </row>
    <row r="51" spans="1:9" x14ac:dyDescent="0.3">
      <c r="A51" s="5" t="s">
        <v>321</v>
      </c>
      <c r="B51" s="7">
        <v>497.08000000000004</v>
      </c>
      <c r="E51" s="5" t="s">
        <v>117</v>
      </c>
      <c r="F51">
        <v>4.5</v>
      </c>
      <c r="H51" s="5" t="s">
        <v>231</v>
      </c>
      <c r="I51" s="6">
        <v>55.98</v>
      </c>
    </row>
    <row r="52" spans="1:9" x14ac:dyDescent="0.3">
      <c r="A52" s="5" t="s">
        <v>354</v>
      </c>
      <c r="B52" s="7">
        <v>498</v>
      </c>
      <c r="E52" s="5" t="s">
        <v>351</v>
      </c>
      <c r="F52">
        <v>4.5</v>
      </c>
      <c r="H52" s="5" t="s">
        <v>108</v>
      </c>
      <c r="I52" s="6">
        <v>59.259259259259252</v>
      </c>
    </row>
    <row r="53" spans="1:9" x14ac:dyDescent="0.3">
      <c r="A53" s="5" t="s">
        <v>114</v>
      </c>
      <c r="B53" s="7">
        <v>499</v>
      </c>
      <c r="E53" s="5" t="s">
        <v>364</v>
      </c>
      <c r="F53">
        <v>4.5</v>
      </c>
      <c r="H53" s="5" t="s">
        <v>391</v>
      </c>
      <c r="I53" s="6">
        <v>65.966666666666669</v>
      </c>
    </row>
    <row r="54" spans="1:9" x14ac:dyDescent="0.3">
      <c r="A54" s="5" t="s">
        <v>207</v>
      </c>
      <c r="B54" s="7">
        <v>499</v>
      </c>
      <c r="E54" s="5" t="s">
        <v>276</v>
      </c>
      <c r="F54">
        <v>4.5</v>
      </c>
      <c r="H54" s="5" t="s">
        <v>100</v>
      </c>
      <c r="I54" s="6">
        <v>66.162946428571431</v>
      </c>
    </row>
    <row r="55" spans="1:9" x14ac:dyDescent="0.3">
      <c r="A55" s="5" t="s">
        <v>137</v>
      </c>
      <c r="B55" s="7">
        <v>499</v>
      </c>
      <c r="E55" s="5" t="s">
        <v>150</v>
      </c>
      <c r="F55">
        <v>4.5</v>
      </c>
      <c r="H55" s="5" t="s">
        <v>425</v>
      </c>
      <c r="I55" s="6">
        <v>66.633802816901408</v>
      </c>
    </row>
    <row r="56" spans="1:9" x14ac:dyDescent="0.3">
      <c r="A56" s="5" t="s">
        <v>105</v>
      </c>
      <c r="B56" s="7">
        <v>510.12</v>
      </c>
      <c r="E56" s="5" t="s">
        <v>417</v>
      </c>
      <c r="F56">
        <v>4.5</v>
      </c>
      <c r="H56" s="5" t="s">
        <v>145</v>
      </c>
      <c r="I56" s="6">
        <v>74.150000000000006</v>
      </c>
    </row>
    <row r="57" spans="1:9" x14ac:dyDescent="0.3">
      <c r="A57" s="5" t="s">
        <v>117</v>
      </c>
      <c r="B57" s="7">
        <v>513.4</v>
      </c>
      <c r="E57" s="5" t="s">
        <v>70</v>
      </c>
      <c r="F57">
        <v>4.5250000000000004</v>
      </c>
      <c r="H57" s="5" t="s">
        <v>293</v>
      </c>
      <c r="I57" s="6">
        <v>75.857142857142861</v>
      </c>
    </row>
    <row r="58" spans="1:9" x14ac:dyDescent="0.3">
      <c r="A58" s="5" t="s">
        <v>301</v>
      </c>
      <c r="B58" s="7">
        <v>519.91999999999996</v>
      </c>
      <c r="E58" s="5" t="s">
        <v>343</v>
      </c>
      <c r="F58" s="8">
        <v>4.5333333333333332</v>
      </c>
      <c r="H58" s="5" t="s">
        <v>234</v>
      </c>
      <c r="I58" s="6">
        <v>78.285714285714278</v>
      </c>
    </row>
    <row r="59" spans="1:9" x14ac:dyDescent="0.3">
      <c r="A59" s="5" t="s">
        <v>134</v>
      </c>
      <c r="B59" s="7">
        <v>549</v>
      </c>
      <c r="E59" s="5" t="s">
        <v>169</v>
      </c>
      <c r="F59">
        <v>4.55</v>
      </c>
      <c r="H59" s="5" t="s">
        <v>150</v>
      </c>
      <c r="I59" s="6">
        <v>80</v>
      </c>
    </row>
    <row r="60" spans="1:9" x14ac:dyDescent="0.3">
      <c r="A60" s="5" t="s">
        <v>192</v>
      </c>
      <c r="B60" s="7">
        <v>581</v>
      </c>
      <c r="E60" s="5" t="s">
        <v>431</v>
      </c>
      <c r="F60">
        <v>4.5999999999999996</v>
      </c>
      <c r="H60" s="5" t="s">
        <v>240</v>
      </c>
      <c r="I60" s="6">
        <v>81.567499999999995</v>
      </c>
    </row>
    <row r="61" spans="1:9" x14ac:dyDescent="0.3">
      <c r="A61" s="5" t="s">
        <v>412</v>
      </c>
      <c r="B61" s="7">
        <v>608</v>
      </c>
      <c r="E61" s="5" t="s">
        <v>93</v>
      </c>
      <c r="F61">
        <v>4.5999999999999996</v>
      </c>
      <c r="H61" s="5" t="s">
        <v>417</v>
      </c>
      <c r="I61" s="6">
        <v>82.307692307692307</v>
      </c>
    </row>
    <row r="62" spans="1:9" x14ac:dyDescent="0.3">
      <c r="A62" s="5" t="s">
        <v>431</v>
      </c>
      <c r="B62" s="7">
        <v>650</v>
      </c>
      <c r="E62" s="5" t="s">
        <v>105</v>
      </c>
      <c r="F62">
        <v>4.5999999999999996</v>
      </c>
      <c r="H62" s="5" t="s">
        <v>380</v>
      </c>
      <c r="I62" s="6">
        <v>85.724999999999994</v>
      </c>
    </row>
    <row r="63" spans="1:9" x14ac:dyDescent="0.3">
      <c r="A63" s="5" t="s">
        <v>339</v>
      </c>
      <c r="B63" s="7">
        <v>680</v>
      </c>
      <c r="E63" s="5" t="s">
        <v>166</v>
      </c>
      <c r="F63">
        <v>4.5999999999999996</v>
      </c>
      <c r="H63" s="5" t="s">
        <v>374</v>
      </c>
      <c r="I63" s="6">
        <v>86.720666666666673</v>
      </c>
    </row>
    <row r="64" spans="1:9" x14ac:dyDescent="0.3">
      <c r="A64" s="5" t="s">
        <v>287</v>
      </c>
      <c r="B64" s="7">
        <v>703</v>
      </c>
      <c r="E64" s="5" t="s">
        <v>37</v>
      </c>
      <c r="F64">
        <v>4.5999999999999996</v>
      </c>
      <c r="H64" s="5" t="s">
        <v>82</v>
      </c>
      <c r="I64" s="6">
        <v>86.912499999999994</v>
      </c>
    </row>
    <row r="65" spans="1:9" x14ac:dyDescent="0.3">
      <c r="A65" s="5" t="s">
        <v>225</v>
      </c>
      <c r="B65" s="7">
        <v>806.65</v>
      </c>
      <c r="E65" s="5" t="s">
        <v>62</v>
      </c>
      <c r="F65">
        <v>4.7</v>
      </c>
      <c r="H65" s="5" t="s">
        <v>304</v>
      </c>
      <c r="I65" s="6">
        <v>87.875</v>
      </c>
    </row>
    <row r="66" spans="1:9" x14ac:dyDescent="0.3">
      <c r="A66" s="5" t="s">
        <v>276</v>
      </c>
      <c r="B66" s="7">
        <v>949.05</v>
      </c>
      <c r="E66" s="5" t="s">
        <v>234</v>
      </c>
      <c r="F66">
        <v>4.7</v>
      </c>
      <c r="H66" s="5" t="s">
        <v>70</v>
      </c>
      <c r="I66" s="6">
        <v>88.841250000000002</v>
      </c>
    </row>
    <row r="67" spans="1:9" x14ac:dyDescent="0.3">
      <c r="A67" s="5" t="s">
        <v>329</v>
      </c>
      <c r="B67" s="7">
        <v>999.9</v>
      </c>
      <c r="E67" s="5" t="s">
        <v>240</v>
      </c>
      <c r="F67">
        <v>4.7</v>
      </c>
      <c r="H67" s="5" t="s">
        <v>421</v>
      </c>
      <c r="I67" s="6">
        <v>91.833333333333329</v>
      </c>
    </row>
    <row r="68" spans="1:9" x14ac:dyDescent="0.3">
      <c r="A68" s="5" t="s">
        <v>449</v>
      </c>
      <c r="B68" s="7">
        <v>373.64793814432994</v>
      </c>
      <c r="E68" s="5" t="s">
        <v>271</v>
      </c>
      <c r="F68">
        <v>4.8</v>
      </c>
      <c r="H68" s="5" t="s">
        <v>47</v>
      </c>
      <c r="I68" s="6">
        <v>99.75</v>
      </c>
    </row>
    <row r="69" spans="1:9" x14ac:dyDescent="0.3">
      <c r="E69" s="5" t="s">
        <v>231</v>
      </c>
      <c r="F69">
        <v>4.8</v>
      </c>
      <c r="H69" s="5" t="s">
        <v>117</v>
      </c>
      <c r="I69" s="6">
        <v>102.67999999999999</v>
      </c>
    </row>
    <row r="70" spans="1:9" x14ac:dyDescent="0.3">
      <c r="E70" s="5" t="s">
        <v>296</v>
      </c>
      <c r="F70">
        <v>4.8499999999999996</v>
      </c>
      <c r="H70" s="5" t="s">
        <v>364</v>
      </c>
      <c r="I70" s="6">
        <v>103.90196078431372</v>
      </c>
    </row>
    <row r="71" spans="1:9" x14ac:dyDescent="0.3">
      <c r="E71" s="5" t="s">
        <v>374</v>
      </c>
      <c r="F71" s="8">
        <v>4.8666666666666671</v>
      </c>
      <c r="H71" s="5" t="s">
        <v>282</v>
      </c>
      <c r="I71" s="6">
        <v>114.08750000000001</v>
      </c>
    </row>
    <row r="72" spans="1:9" x14ac:dyDescent="0.3">
      <c r="E72" s="5" t="s">
        <v>354</v>
      </c>
      <c r="F72">
        <v>4.9000000000000004</v>
      </c>
      <c r="H72" s="5" t="s">
        <v>129</v>
      </c>
      <c r="I72" s="6">
        <v>116.75</v>
      </c>
    </row>
    <row r="73" spans="1:9" x14ac:dyDescent="0.3">
      <c r="E73" s="5" t="s">
        <v>339</v>
      </c>
      <c r="F73">
        <v>4.9000000000000004</v>
      </c>
      <c r="H73" s="5" t="s">
        <v>120</v>
      </c>
      <c r="I73" s="6">
        <v>119.6</v>
      </c>
    </row>
    <row r="74" spans="1:9" x14ac:dyDescent="0.3">
      <c r="E74" s="5" t="s">
        <v>282</v>
      </c>
      <c r="F74">
        <v>4.9000000000000004</v>
      </c>
      <c r="H74" s="5" t="s">
        <v>296</v>
      </c>
      <c r="I74" s="6">
        <v>119.7565</v>
      </c>
    </row>
    <row r="75" spans="1:9" x14ac:dyDescent="0.3">
      <c r="E75" s="5" t="s">
        <v>380</v>
      </c>
      <c r="F75">
        <v>5</v>
      </c>
      <c r="H75" s="5" t="s">
        <v>137</v>
      </c>
      <c r="I75" s="6">
        <v>124.75</v>
      </c>
    </row>
    <row r="76" spans="1:9" x14ac:dyDescent="0.3">
      <c r="E76" s="5" t="s">
        <v>287</v>
      </c>
      <c r="F76">
        <v>5</v>
      </c>
      <c r="H76" s="5" t="s">
        <v>409</v>
      </c>
      <c r="I76" s="6">
        <v>125</v>
      </c>
    </row>
    <row r="77" spans="1:9" x14ac:dyDescent="0.3">
      <c r="E77" s="5" t="s">
        <v>449</v>
      </c>
      <c r="F77">
        <v>4.4857142857142858</v>
      </c>
      <c r="H77" s="5" t="s">
        <v>105</v>
      </c>
      <c r="I77" s="6">
        <v>127.53000000000002</v>
      </c>
    </row>
    <row r="78" spans="1:9" x14ac:dyDescent="0.3">
      <c r="H78" s="5" t="s">
        <v>301</v>
      </c>
      <c r="I78" s="6">
        <v>129.97999999999999</v>
      </c>
    </row>
    <row r="79" spans="1:9" x14ac:dyDescent="0.3">
      <c r="H79" s="5" t="s">
        <v>279</v>
      </c>
      <c r="I79" s="6">
        <v>132.62</v>
      </c>
    </row>
    <row r="80" spans="1:9" x14ac:dyDescent="0.3">
      <c r="H80" s="5" t="s">
        <v>354</v>
      </c>
      <c r="I80" s="6">
        <v>142.28571428571428</v>
      </c>
    </row>
    <row r="81" spans="8:9" x14ac:dyDescent="0.3">
      <c r="H81" s="5" t="s">
        <v>271</v>
      </c>
      <c r="I81" s="6">
        <v>143.73000000000002</v>
      </c>
    </row>
    <row r="82" spans="8:9" x14ac:dyDescent="0.3">
      <c r="H82" s="5" t="s">
        <v>166</v>
      </c>
      <c r="I82" s="6">
        <v>153.29999999999998</v>
      </c>
    </row>
    <row r="83" spans="8:9" x14ac:dyDescent="0.3">
      <c r="H83" s="5" t="s">
        <v>343</v>
      </c>
      <c r="I83" s="6">
        <v>153.46666666666667</v>
      </c>
    </row>
    <row r="84" spans="8:9" x14ac:dyDescent="0.3">
      <c r="H84" s="5" t="s">
        <v>58</v>
      </c>
      <c r="I84" s="6">
        <v>157.44999999999999</v>
      </c>
    </row>
    <row r="85" spans="8:9" x14ac:dyDescent="0.3">
      <c r="H85" s="5" t="s">
        <v>14</v>
      </c>
      <c r="I85" s="6">
        <v>159.60000000000002</v>
      </c>
    </row>
    <row r="86" spans="8:9" x14ac:dyDescent="0.3">
      <c r="H86" s="5" t="s">
        <v>114</v>
      </c>
      <c r="I86" s="6">
        <v>166.33333333333334</v>
      </c>
    </row>
    <row r="87" spans="8:9" x14ac:dyDescent="0.3">
      <c r="H87" s="5" t="s">
        <v>339</v>
      </c>
      <c r="I87" s="6">
        <v>170</v>
      </c>
    </row>
    <row r="88" spans="8:9" x14ac:dyDescent="0.3">
      <c r="H88" s="5" t="s">
        <v>412</v>
      </c>
      <c r="I88" s="6">
        <v>184.24242424242425</v>
      </c>
    </row>
    <row r="89" spans="8:9" x14ac:dyDescent="0.3">
      <c r="H89" s="5" t="s">
        <v>276</v>
      </c>
      <c r="I89" s="6">
        <v>189.81</v>
      </c>
    </row>
    <row r="90" spans="8:9" x14ac:dyDescent="0.3">
      <c r="H90" s="5" t="s">
        <v>225</v>
      </c>
      <c r="I90" s="6">
        <v>201.66249999999999</v>
      </c>
    </row>
    <row r="91" spans="8:9" x14ac:dyDescent="0.3">
      <c r="H91" s="5" t="s">
        <v>134</v>
      </c>
      <c r="I91" s="6">
        <v>219.60000000000002</v>
      </c>
    </row>
    <row r="92" spans="8:9" x14ac:dyDescent="0.3">
      <c r="H92" s="5" t="s">
        <v>431</v>
      </c>
      <c r="I92" s="6">
        <v>260</v>
      </c>
    </row>
    <row r="93" spans="8:9" x14ac:dyDescent="0.3">
      <c r="H93" s="5" t="s">
        <v>287</v>
      </c>
      <c r="I93" s="6">
        <v>281.2</v>
      </c>
    </row>
    <row r="94" spans="8:9" x14ac:dyDescent="0.3">
      <c r="H94" s="5" t="s">
        <v>329</v>
      </c>
      <c r="I94" s="6">
        <v>333.29999999999995</v>
      </c>
    </row>
    <row r="95" spans="8:9" x14ac:dyDescent="0.3">
      <c r="H95" s="5" t="s">
        <v>449</v>
      </c>
      <c r="I95" s="6">
        <v>102.9315140881655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D61A-5366-4078-8A21-E5E3C277232E}">
  <dimension ref="A1"/>
  <sheetViews>
    <sheetView showGridLines="0" workbookViewId="0">
      <selection activeCell="V8" sqref="V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CF9D-F3F4-40CA-83EA-10D99E1CDE56}">
  <dimension ref="A1:F6"/>
  <sheetViews>
    <sheetView workbookViewId="0">
      <selection activeCell="D12" sqref="D12"/>
    </sheetView>
  </sheetViews>
  <sheetFormatPr defaultColWidth="14.88671875" defaultRowHeight="14.4" x14ac:dyDescent="0.3"/>
  <sheetData>
    <row r="1" spans="1:6" x14ac:dyDescent="0.3">
      <c r="A1" s="10"/>
      <c r="B1" s="10" t="s">
        <v>325</v>
      </c>
      <c r="C1" s="10" t="s">
        <v>327</v>
      </c>
      <c r="D1" s="10" t="s">
        <v>8</v>
      </c>
      <c r="E1" s="10" t="s">
        <v>7</v>
      </c>
      <c r="F1" s="10" t="s">
        <v>326</v>
      </c>
    </row>
    <row r="2" spans="1:6" x14ac:dyDescent="0.3">
      <c r="A2" t="s">
        <v>325</v>
      </c>
      <c r="B2">
        <v>1</v>
      </c>
      <c r="C2">
        <v>-0.22385463962724336</v>
      </c>
      <c r="D2">
        <v>-9.5821252715664901E-3</v>
      </c>
      <c r="E2">
        <v>5.6213582515110209E-2</v>
      </c>
      <c r="F2">
        <v>0.84837509816221546</v>
      </c>
    </row>
    <row r="3" spans="1:6" x14ac:dyDescent="0.3">
      <c r="A3" t="s">
        <v>327</v>
      </c>
      <c r="B3">
        <v>-0.22385463962724336</v>
      </c>
      <c r="C3">
        <v>1</v>
      </c>
      <c r="D3">
        <v>-1.4628325304725813E-2</v>
      </c>
      <c r="E3">
        <v>4.7325786559190293E-2</v>
      </c>
      <c r="F3">
        <v>-0.56318757894860516</v>
      </c>
    </row>
    <row r="4" spans="1:6" x14ac:dyDescent="0.3">
      <c r="A4" t="s">
        <v>8</v>
      </c>
      <c r="B4">
        <v>-9.5821252715664901E-3</v>
      </c>
      <c r="C4">
        <v>-1.4628325304725813E-2</v>
      </c>
      <c r="D4">
        <v>1</v>
      </c>
      <c r="E4">
        <v>-0.20418467956268355</v>
      </c>
      <c r="F4">
        <v>-1.6551466251902711E-2</v>
      </c>
    </row>
    <row r="5" spans="1:6" x14ac:dyDescent="0.3">
      <c r="A5" t="s">
        <v>7</v>
      </c>
      <c r="B5">
        <v>5.6213582515110209E-2</v>
      </c>
      <c r="C5">
        <v>4.7325786559190293E-2</v>
      </c>
      <c r="D5">
        <v>-0.20418467956268355</v>
      </c>
      <c r="E5">
        <v>1</v>
      </c>
      <c r="F5">
        <v>1.6799707706150583E-3</v>
      </c>
    </row>
    <row r="6" spans="1:6" ht="15" thickBot="1" x14ac:dyDescent="0.35">
      <c r="A6" s="9" t="s">
        <v>326</v>
      </c>
      <c r="B6" s="9">
        <v>0.84837509816221546</v>
      </c>
      <c r="C6" s="9">
        <v>-0.56318757894860516</v>
      </c>
      <c r="D6" s="9">
        <v>-1.6551466251902711E-2</v>
      </c>
      <c r="E6" s="9">
        <v>1.6799707706150583E-3</v>
      </c>
      <c r="F6">
        <v>1</v>
      </c>
    </row>
  </sheetData>
  <conditionalFormatting sqref="B2:F6">
    <cfRule type="colorScale" priority="1">
      <colorScale>
        <cfvo type="num" val="-1"/>
        <cfvo type="num" val="0"/>
        <cfvo type="num" val="1"/>
        <color rgb="FFC00000"/>
        <color theme="0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9D6F-B6F0-4271-AF4F-A04D9E31F302}">
  <dimension ref="A1:K98"/>
  <sheetViews>
    <sheetView topLeftCell="B74" workbookViewId="0">
      <selection activeCell="C7" sqref="C7"/>
    </sheetView>
  </sheetViews>
  <sheetFormatPr defaultRowHeight="14.4" x14ac:dyDescent="0.3"/>
  <cols>
    <col min="1" max="1" width="12.6640625" bestFit="1" customWidth="1"/>
    <col min="2" max="2" width="39.77734375" customWidth="1"/>
    <col min="3" max="3" width="100.109375" customWidth="1"/>
    <col min="4" max="4" width="13.88671875" style="2" customWidth="1"/>
    <col min="5" max="5" width="13.88671875" bestFit="1" customWidth="1"/>
    <col min="6" max="6" width="15.5546875" bestFit="1" customWidth="1"/>
    <col min="7" max="7" width="8.109375" bestFit="1" customWidth="1"/>
    <col min="8" max="8" width="13.33203125" customWidth="1"/>
    <col min="10" max="10" width="10.21875" bestFit="1" customWidth="1"/>
  </cols>
  <sheetData>
    <row r="1" spans="1:11" x14ac:dyDescent="0.3">
      <c r="A1" t="s">
        <v>10</v>
      </c>
      <c r="B1" t="s">
        <v>1</v>
      </c>
      <c r="C1" t="s">
        <v>2</v>
      </c>
      <c r="D1" s="2" t="s">
        <v>325</v>
      </c>
      <c r="E1" t="s">
        <v>327</v>
      </c>
      <c r="F1" t="s">
        <v>8</v>
      </c>
      <c r="G1" t="s">
        <v>7</v>
      </c>
      <c r="H1" t="s">
        <v>326</v>
      </c>
    </row>
    <row r="2" spans="1:11" x14ac:dyDescent="0.3">
      <c r="A2">
        <v>41</v>
      </c>
      <c r="B2" t="s">
        <v>14</v>
      </c>
      <c r="C2" t="s">
        <v>345</v>
      </c>
      <c r="D2" s="3">
        <v>399</v>
      </c>
      <c r="E2">
        <v>250</v>
      </c>
      <c r="F2">
        <v>418</v>
      </c>
      <c r="G2">
        <v>4.2</v>
      </c>
      <c r="H2" s="3">
        <f>trendyol_final__most_rated_AutoRecovered___2[[#This Row],[price]]/trendyol_final__most_rated_AutoRecovered___2[[#This Row],[product_size]]*100</f>
        <v>159.60000000000002</v>
      </c>
      <c r="I2" t="s">
        <v>443</v>
      </c>
      <c r="J2">
        <v>373.65</v>
      </c>
    </row>
    <row r="3" spans="1:11" x14ac:dyDescent="0.3">
      <c r="A3">
        <v>65</v>
      </c>
      <c r="B3" t="s">
        <v>14</v>
      </c>
      <c r="C3" t="s">
        <v>346</v>
      </c>
      <c r="D3" s="3">
        <v>399</v>
      </c>
      <c r="E3">
        <v>250</v>
      </c>
      <c r="F3">
        <v>258</v>
      </c>
      <c r="G3">
        <v>4.2</v>
      </c>
      <c r="H3" s="3">
        <f>trendyol_final__most_rated_AutoRecovered___2[[#This Row],[price]]/trendyol_final__most_rated_AutoRecovered___2[[#This Row],[product_size]]*100</f>
        <v>159.60000000000002</v>
      </c>
      <c r="I3" t="s">
        <v>446</v>
      </c>
      <c r="J3" s="3">
        <f>MEDIAN(D:D)</f>
        <v>363</v>
      </c>
    </row>
    <row r="4" spans="1:11" x14ac:dyDescent="0.3">
      <c r="A4">
        <v>43</v>
      </c>
      <c r="B4" t="s">
        <v>421</v>
      </c>
      <c r="C4" t="s">
        <v>422</v>
      </c>
      <c r="D4" s="3">
        <v>303.05</v>
      </c>
      <c r="E4">
        <v>330</v>
      </c>
      <c r="F4">
        <v>380</v>
      </c>
      <c r="G4">
        <v>4.3</v>
      </c>
      <c r="H4" s="3">
        <f>trendyol_final__most_rated_AutoRecovered___2[[#This Row],[price]]/trendyol_final__most_rated_AutoRecovered___2[[#This Row],[product_size]]*100</f>
        <v>91.833333333333329</v>
      </c>
      <c r="I4" t="s">
        <v>447</v>
      </c>
      <c r="J4">
        <f>_xlfn.STDEV.S(D:D)</f>
        <v>170.18692402851559</v>
      </c>
    </row>
    <row r="5" spans="1:11" x14ac:dyDescent="0.3">
      <c r="A5">
        <v>19</v>
      </c>
      <c r="B5" t="s">
        <v>21</v>
      </c>
      <c r="C5" t="s">
        <v>401</v>
      </c>
      <c r="D5" s="3">
        <v>162.74</v>
      </c>
      <c r="E5">
        <v>360</v>
      </c>
      <c r="F5">
        <v>1245</v>
      </c>
      <c r="G5">
        <v>4.5</v>
      </c>
      <c r="H5" s="3">
        <f>trendyol_final__most_rated_AutoRecovered___2[[#This Row],[price]]/trendyol_final__most_rated_AutoRecovered___2[[#This Row],[product_size]]*100</f>
        <v>45.205555555555563</v>
      </c>
      <c r="I5" t="s">
        <v>453</v>
      </c>
      <c r="K5">
        <f>CORREL(D:D,F:F)</f>
        <v>-9.5821252715664901E-3</v>
      </c>
    </row>
    <row r="6" spans="1:11" x14ac:dyDescent="0.3">
      <c r="A6">
        <v>23</v>
      </c>
      <c r="B6" t="s">
        <v>21</v>
      </c>
      <c r="C6" t="s">
        <v>404</v>
      </c>
      <c r="D6" s="3">
        <v>140</v>
      </c>
      <c r="E6">
        <v>360</v>
      </c>
      <c r="F6">
        <v>1042</v>
      </c>
      <c r="G6">
        <v>4.5999999999999996</v>
      </c>
      <c r="H6" s="3">
        <f>trendyol_final__most_rated_AutoRecovered___2[[#This Row],[price]]/trendyol_final__most_rated_AutoRecovered___2[[#This Row],[product_size]]*100</f>
        <v>38.888888888888893</v>
      </c>
    </row>
    <row r="7" spans="1:11" x14ac:dyDescent="0.3">
      <c r="A7">
        <v>33</v>
      </c>
      <c r="B7" t="s">
        <v>21</v>
      </c>
      <c r="C7" t="s">
        <v>403</v>
      </c>
      <c r="D7" s="3">
        <v>144.66999999999999</v>
      </c>
      <c r="E7">
        <v>360</v>
      </c>
      <c r="F7">
        <v>564</v>
      </c>
      <c r="G7">
        <v>4.5</v>
      </c>
      <c r="H7" s="3">
        <f>trendyol_final__most_rated_AutoRecovered___2[[#This Row],[price]]/trendyol_final__most_rated_AutoRecovered___2[[#This Row],[product_size]]*100</f>
        <v>40.186111111111103</v>
      </c>
    </row>
    <row r="8" spans="1:11" x14ac:dyDescent="0.3">
      <c r="A8">
        <v>94</v>
      </c>
      <c r="B8" t="s">
        <v>21</v>
      </c>
      <c r="C8" t="s">
        <v>399</v>
      </c>
      <c r="D8" s="3">
        <v>199.99</v>
      </c>
      <c r="E8">
        <v>360</v>
      </c>
      <c r="F8">
        <v>160</v>
      </c>
      <c r="G8">
        <v>4.4000000000000004</v>
      </c>
      <c r="H8" s="3">
        <f>trendyol_final__most_rated_AutoRecovered___2[[#This Row],[price]]/trendyol_final__most_rated_AutoRecovered___2[[#This Row],[product_size]]*100</f>
        <v>55.552777777777784</v>
      </c>
    </row>
    <row r="9" spans="1:11" x14ac:dyDescent="0.3">
      <c r="A9">
        <v>113</v>
      </c>
      <c r="B9" t="s">
        <v>21</v>
      </c>
      <c r="C9" t="s">
        <v>402</v>
      </c>
      <c r="D9" s="3">
        <v>159.9</v>
      </c>
      <c r="E9">
        <v>360</v>
      </c>
      <c r="F9">
        <v>139</v>
      </c>
      <c r="G9">
        <v>4.5</v>
      </c>
      <c r="H9" s="3">
        <f>trendyol_final__most_rated_AutoRecovered___2[[#This Row],[price]]/trendyol_final__most_rated_AutoRecovered___2[[#This Row],[product_size]]*100</f>
        <v>44.416666666666671</v>
      </c>
    </row>
    <row r="10" spans="1:11" x14ac:dyDescent="0.3">
      <c r="A10">
        <v>86</v>
      </c>
      <c r="B10" t="s">
        <v>225</v>
      </c>
      <c r="C10" t="s">
        <v>332</v>
      </c>
      <c r="D10" s="3">
        <v>806.65</v>
      </c>
      <c r="E10">
        <v>400</v>
      </c>
      <c r="F10">
        <v>180</v>
      </c>
      <c r="G10">
        <v>4.0999999999999996</v>
      </c>
      <c r="H10" s="3">
        <f>trendyol_final__most_rated_AutoRecovered___2[[#This Row],[price]]/trendyol_final__most_rated_AutoRecovered___2[[#This Row],[product_size]]*100</f>
        <v>201.66249999999999</v>
      </c>
    </row>
    <row r="11" spans="1:11" x14ac:dyDescent="0.3">
      <c r="A11">
        <v>101</v>
      </c>
      <c r="B11" t="s">
        <v>37</v>
      </c>
      <c r="C11" t="s">
        <v>435</v>
      </c>
      <c r="D11" s="3">
        <v>149</v>
      </c>
      <c r="E11">
        <v>500</v>
      </c>
      <c r="F11">
        <v>112</v>
      </c>
      <c r="G11">
        <v>4.5999999999999996</v>
      </c>
      <c r="H11" s="3">
        <f>trendyol_final__most_rated_AutoRecovered___2[[#This Row],[price]]/trendyol_final__most_rated_AutoRecovered___2[[#This Row],[product_size]]*100</f>
        <v>29.799999999999997</v>
      </c>
    </row>
    <row r="12" spans="1:11" x14ac:dyDescent="0.3">
      <c r="A12">
        <v>44</v>
      </c>
      <c r="B12" t="s">
        <v>231</v>
      </c>
      <c r="C12" t="s">
        <v>397</v>
      </c>
      <c r="D12" s="3">
        <v>223.92</v>
      </c>
      <c r="E12">
        <v>400</v>
      </c>
      <c r="F12">
        <v>361</v>
      </c>
      <c r="G12">
        <v>4.8</v>
      </c>
      <c r="H12" s="3">
        <f>trendyol_final__most_rated_AutoRecovered___2[[#This Row],[price]]/trendyol_final__most_rated_AutoRecovered___2[[#This Row],[product_size]]*100</f>
        <v>55.98</v>
      </c>
    </row>
    <row r="13" spans="1:11" x14ac:dyDescent="0.3">
      <c r="A13">
        <v>61</v>
      </c>
      <c r="B13" t="s">
        <v>234</v>
      </c>
      <c r="C13" t="s">
        <v>436</v>
      </c>
      <c r="D13" s="3">
        <v>274</v>
      </c>
      <c r="E13">
        <v>350</v>
      </c>
      <c r="F13">
        <v>261</v>
      </c>
      <c r="G13">
        <v>4.7</v>
      </c>
      <c r="H13" s="3">
        <f>trendyol_final__most_rated_AutoRecovered___2[[#This Row],[price]]/trendyol_final__most_rated_AutoRecovered___2[[#This Row],[product_size]]*100</f>
        <v>78.285714285714278</v>
      </c>
    </row>
    <row r="14" spans="1:11" x14ac:dyDescent="0.3">
      <c r="A14">
        <v>15</v>
      </c>
      <c r="B14" t="s">
        <v>47</v>
      </c>
      <c r="C14" t="s">
        <v>372</v>
      </c>
      <c r="D14" s="3">
        <v>399</v>
      </c>
      <c r="E14">
        <v>400</v>
      </c>
      <c r="F14">
        <v>1447</v>
      </c>
      <c r="G14">
        <v>4.2</v>
      </c>
      <c r="H14" s="3">
        <f>trendyol_final__most_rated_AutoRecovered___2[[#This Row],[price]]/trendyol_final__most_rated_AutoRecovered___2[[#This Row],[product_size]]*100</f>
        <v>99.75</v>
      </c>
    </row>
    <row r="15" spans="1:11" x14ac:dyDescent="0.3">
      <c r="A15">
        <v>88</v>
      </c>
      <c r="B15" t="s">
        <v>329</v>
      </c>
      <c r="C15" t="s">
        <v>434</v>
      </c>
      <c r="D15" s="3">
        <v>999.9</v>
      </c>
      <c r="E15">
        <v>300</v>
      </c>
      <c r="F15">
        <v>253</v>
      </c>
      <c r="G15">
        <v>4.3</v>
      </c>
      <c r="H15" s="3">
        <f>trendyol_final__most_rated_AutoRecovered___2[[#This Row],[price]]/trendyol_final__most_rated_AutoRecovered___2[[#This Row],[product_size]]*100</f>
        <v>333.29999999999995</v>
      </c>
    </row>
    <row r="16" spans="1:11" x14ac:dyDescent="0.3">
      <c r="A16">
        <v>104</v>
      </c>
      <c r="B16" t="s">
        <v>215</v>
      </c>
      <c r="C16" t="s">
        <v>216</v>
      </c>
      <c r="D16" s="3">
        <v>181.94</v>
      </c>
      <c r="E16">
        <v>1000</v>
      </c>
      <c r="F16">
        <v>150</v>
      </c>
      <c r="G16">
        <v>4.2</v>
      </c>
      <c r="H16" s="3">
        <f>trendyol_final__most_rated_AutoRecovered___2[[#This Row],[price]]/trendyol_final__most_rated_AutoRecovered___2[[#This Row],[product_size]]*100</f>
        <v>18.193999999999999</v>
      </c>
    </row>
    <row r="17" spans="1:8" x14ac:dyDescent="0.3">
      <c r="A17">
        <v>106</v>
      </c>
      <c r="B17" t="s">
        <v>58</v>
      </c>
      <c r="C17" t="s">
        <v>348</v>
      </c>
      <c r="D17" s="3">
        <v>314.89999999999998</v>
      </c>
      <c r="E17">
        <v>200</v>
      </c>
      <c r="F17">
        <v>148</v>
      </c>
      <c r="G17">
        <v>4.0999999999999996</v>
      </c>
      <c r="H17" s="3">
        <f>trendyol_final__most_rated_AutoRecovered___2[[#This Row],[price]]/trendyol_final__most_rated_AutoRecovered___2[[#This Row],[product_size]]*100</f>
        <v>157.44999999999999</v>
      </c>
    </row>
    <row r="18" spans="1:8" x14ac:dyDescent="0.3">
      <c r="A18">
        <v>38</v>
      </c>
      <c r="B18" t="s">
        <v>240</v>
      </c>
      <c r="C18" t="s">
        <v>383</v>
      </c>
      <c r="D18" s="3">
        <v>326.27</v>
      </c>
      <c r="E18">
        <v>400</v>
      </c>
      <c r="F18">
        <v>447</v>
      </c>
      <c r="G18">
        <v>4.7</v>
      </c>
      <c r="H18" s="3">
        <f>trendyol_final__most_rated_AutoRecovered___2[[#This Row],[price]]/trendyol_final__most_rated_AutoRecovered___2[[#This Row],[product_size]]*100</f>
        <v>81.567499999999995</v>
      </c>
    </row>
    <row r="19" spans="1:8" x14ac:dyDescent="0.3">
      <c r="A19">
        <v>100</v>
      </c>
      <c r="B19" t="s">
        <v>412</v>
      </c>
      <c r="C19" t="s">
        <v>413</v>
      </c>
      <c r="D19" s="3">
        <v>608</v>
      </c>
      <c r="E19">
        <v>330</v>
      </c>
      <c r="F19">
        <v>156</v>
      </c>
      <c r="G19">
        <v>4.2</v>
      </c>
      <c r="H19" s="3">
        <f>trendyol_final__most_rated_AutoRecovered___2[[#This Row],[price]]/trendyol_final__most_rated_AutoRecovered___2[[#This Row],[product_size]]*100</f>
        <v>184.24242424242425</v>
      </c>
    </row>
    <row r="20" spans="1:8" x14ac:dyDescent="0.3">
      <c r="A20">
        <v>31</v>
      </c>
      <c r="B20" t="s">
        <v>351</v>
      </c>
      <c r="C20" t="s">
        <v>430</v>
      </c>
      <c r="D20" s="3">
        <v>184.9</v>
      </c>
      <c r="E20">
        <v>800</v>
      </c>
      <c r="F20">
        <v>2270</v>
      </c>
      <c r="G20">
        <v>4.5</v>
      </c>
      <c r="H20" s="3">
        <f>trendyol_final__most_rated_AutoRecovered___2[[#This Row],[price]]/trendyol_final__most_rated_AutoRecovered___2[[#This Row],[product_size]]*100</f>
        <v>23.112500000000001</v>
      </c>
    </row>
    <row r="21" spans="1:8" x14ac:dyDescent="0.3">
      <c r="A21">
        <v>46</v>
      </c>
      <c r="B21" t="s">
        <v>62</v>
      </c>
      <c r="C21" t="s">
        <v>437</v>
      </c>
      <c r="D21" s="3">
        <v>159.55000000000001</v>
      </c>
      <c r="E21">
        <v>400</v>
      </c>
      <c r="F21">
        <v>20</v>
      </c>
      <c r="G21">
        <v>4.7</v>
      </c>
      <c r="H21" s="3">
        <f>trendyol_final__most_rated_AutoRecovered___2[[#This Row],[price]]/trendyol_final__most_rated_AutoRecovered___2[[#This Row],[product_size]]*100</f>
        <v>39.887500000000003</v>
      </c>
    </row>
    <row r="22" spans="1:8" x14ac:dyDescent="0.3">
      <c r="A22">
        <v>6</v>
      </c>
      <c r="B22" t="s">
        <v>70</v>
      </c>
      <c r="C22" t="s">
        <v>393</v>
      </c>
      <c r="D22" s="3">
        <v>190.38</v>
      </c>
      <c r="E22">
        <v>300</v>
      </c>
      <c r="F22">
        <v>2950</v>
      </c>
      <c r="G22">
        <v>4.4000000000000004</v>
      </c>
      <c r="H22" s="3">
        <f>trendyol_final__most_rated_AutoRecovered___2[[#This Row],[price]]/trendyol_final__most_rated_AutoRecovered___2[[#This Row],[product_size]]*100</f>
        <v>63.459999999999994</v>
      </c>
    </row>
    <row r="23" spans="1:8" x14ac:dyDescent="0.3">
      <c r="A23">
        <v>22</v>
      </c>
      <c r="B23" t="s">
        <v>70</v>
      </c>
      <c r="C23" t="s">
        <v>398</v>
      </c>
      <c r="D23" s="3">
        <v>167.94</v>
      </c>
      <c r="E23">
        <v>300</v>
      </c>
      <c r="F23">
        <v>1131</v>
      </c>
      <c r="G23">
        <v>4.5999999999999996</v>
      </c>
      <c r="H23" s="3">
        <f>trendyol_final__most_rated_AutoRecovered___2[[#This Row],[price]]/trendyol_final__most_rated_AutoRecovered___2[[#This Row],[product_size]]*100</f>
        <v>55.98</v>
      </c>
    </row>
    <row r="24" spans="1:8" x14ac:dyDescent="0.3">
      <c r="A24">
        <v>52</v>
      </c>
      <c r="B24" t="s">
        <v>70</v>
      </c>
      <c r="C24" t="s">
        <v>386</v>
      </c>
      <c r="D24" s="3">
        <v>279.89999999999998</v>
      </c>
      <c r="E24">
        <v>360</v>
      </c>
      <c r="F24">
        <v>303</v>
      </c>
      <c r="G24">
        <v>4.5999999999999996</v>
      </c>
      <c r="H24" s="3">
        <f>trendyol_final__most_rated_AutoRecovered___2[[#This Row],[price]]/trendyol_final__most_rated_AutoRecovered___2[[#This Row],[product_size]]*100</f>
        <v>77.75</v>
      </c>
    </row>
    <row r="25" spans="1:8" x14ac:dyDescent="0.3">
      <c r="A25">
        <v>90</v>
      </c>
      <c r="B25" t="s">
        <v>70</v>
      </c>
      <c r="C25" t="s">
        <v>347</v>
      </c>
      <c r="D25" s="3">
        <v>316.35000000000002</v>
      </c>
      <c r="E25">
        <v>200</v>
      </c>
      <c r="F25">
        <v>171</v>
      </c>
      <c r="G25">
        <v>4.5</v>
      </c>
      <c r="H25" s="3">
        <f>trendyol_final__most_rated_AutoRecovered___2[[#This Row],[price]]/trendyol_final__most_rated_AutoRecovered___2[[#This Row],[product_size]]*100</f>
        <v>158.17500000000001</v>
      </c>
    </row>
    <row r="26" spans="1:8" x14ac:dyDescent="0.3">
      <c r="A26">
        <v>1</v>
      </c>
      <c r="B26" t="s">
        <v>82</v>
      </c>
      <c r="C26" t="s">
        <v>379</v>
      </c>
      <c r="D26" s="3">
        <v>347.65</v>
      </c>
      <c r="E26">
        <v>400</v>
      </c>
      <c r="F26">
        <v>75277</v>
      </c>
      <c r="G26">
        <v>4.0999999999999996</v>
      </c>
      <c r="H26" s="3">
        <f>trendyol_final__most_rated_AutoRecovered___2[[#This Row],[price]]/trendyol_final__most_rated_AutoRecovered___2[[#This Row],[product_size]]*100</f>
        <v>86.912499999999994</v>
      </c>
    </row>
    <row r="27" spans="1:8" x14ac:dyDescent="0.3">
      <c r="A27">
        <v>27</v>
      </c>
      <c r="B27" t="s">
        <v>387</v>
      </c>
      <c r="C27" t="s">
        <v>396</v>
      </c>
      <c r="D27" s="3">
        <v>230.2</v>
      </c>
      <c r="E27">
        <v>400</v>
      </c>
      <c r="F27">
        <v>735</v>
      </c>
      <c r="G27">
        <v>4.0999999999999996</v>
      </c>
      <c r="H27" s="3">
        <f>trendyol_final__most_rated_AutoRecovered___2[[#This Row],[price]]/trendyol_final__most_rated_AutoRecovered___2[[#This Row],[product_size]]*100</f>
        <v>57.550000000000004</v>
      </c>
    </row>
    <row r="28" spans="1:8" x14ac:dyDescent="0.3">
      <c r="A28">
        <v>66</v>
      </c>
      <c r="B28" t="s">
        <v>387</v>
      </c>
      <c r="C28" t="s">
        <v>388</v>
      </c>
      <c r="D28" s="3">
        <v>284.10000000000002</v>
      </c>
      <c r="E28">
        <v>400</v>
      </c>
      <c r="F28">
        <v>254</v>
      </c>
      <c r="G28">
        <v>4.0999999999999996</v>
      </c>
      <c r="H28" s="3">
        <f>trendyol_final__most_rated_AutoRecovered___2[[#This Row],[price]]/trendyol_final__most_rated_AutoRecovered___2[[#This Row],[product_size]]*100</f>
        <v>71.025000000000006</v>
      </c>
    </row>
    <row r="29" spans="1:8" x14ac:dyDescent="0.3">
      <c r="A29">
        <v>74</v>
      </c>
      <c r="B29" t="s">
        <v>387</v>
      </c>
      <c r="C29" t="s">
        <v>405</v>
      </c>
      <c r="D29" s="3">
        <v>136.9</v>
      </c>
      <c r="E29">
        <v>400</v>
      </c>
      <c r="F29">
        <v>198</v>
      </c>
      <c r="G29">
        <v>4.5</v>
      </c>
      <c r="H29" s="3">
        <f>trendyol_final__most_rated_AutoRecovered___2[[#This Row],[price]]/trendyol_final__most_rated_AutoRecovered___2[[#This Row],[product_size]]*100</f>
        <v>34.225000000000001</v>
      </c>
    </row>
    <row r="30" spans="1:8" x14ac:dyDescent="0.3">
      <c r="A30">
        <v>105</v>
      </c>
      <c r="B30" t="s">
        <v>380</v>
      </c>
      <c r="C30" t="s">
        <v>381</v>
      </c>
      <c r="D30" s="3">
        <v>342.9</v>
      </c>
      <c r="E30">
        <v>400</v>
      </c>
      <c r="F30">
        <v>149</v>
      </c>
      <c r="G30">
        <v>5</v>
      </c>
      <c r="H30" s="3">
        <f>trendyol_final__most_rated_AutoRecovered___2[[#This Row],[price]]/trendyol_final__most_rated_AutoRecovered___2[[#This Row],[product_size]]*100</f>
        <v>85.724999999999994</v>
      </c>
    </row>
    <row r="31" spans="1:8" x14ac:dyDescent="0.3">
      <c r="A31">
        <v>30</v>
      </c>
      <c r="B31" t="s">
        <v>93</v>
      </c>
      <c r="C31" t="s">
        <v>438</v>
      </c>
      <c r="D31" s="3">
        <v>120.17</v>
      </c>
      <c r="E31">
        <v>400</v>
      </c>
      <c r="F31">
        <v>275</v>
      </c>
      <c r="G31">
        <v>4.5999999999999996</v>
      </c>
      <c r="H31" s="3">
        <f>trendyol_final__most_rated_AutoRecovered___2[[#This Row],[price]]/trendyol_final__most_rated_AutoRecovered___2[[#This Row],[product_size]]*100</f>
        <v>30.0425</v>
      </c>
    </row>
    <row r="32" spans="1:8" x14ac:dyDescent="0.3">
      <c r="A32">
        <v>9</v>
      </c>
      <c r="B32" t="s">
        <v>364</v>
      </c>
      <c r="C32" t="s">
        <v>369</v>
      </c>
      <c r="D32" s="3">
        <v>347.9</v>
      </c>
      <c r="E32">
        <v>340</v>
      </c>
      <c r="F32">
        <v>2509</v>
      </c>
      <c r="G32">
        <v>4.5999999999999996</v>
      </c>
      <c r="H32" s="3">
        <f>trendyol_final__most_rated_AutoRecovered___2[[#This Row],[price]]/trendyol_final__most_rated_AutoRecovered___2[[#This Row],[product_size]]*100</f>
        <v>102.3235294117647</v>
      </c>
    </row>
    <row r="33" spans="1:8" x14ac:dyDescent="0.3">
      <c r="A33">
        <v>12</v>
      </c>
      <c r="B33" t="s">
        <v>364</v>
      </c>
      <c r="C33" t="s">
        <v>365</v>
      </c>
      <c r="D33" s="3">
        <v>364</v>
      </c>
      <c r="E33">
        <v>340</v>
      </c>
      <c r="F33">
        <v>1695</v>
      </c>
      <c r="G33">
        <v>4.5999999999999996</v>
      </c>
      <c r="H33" s="3">
        <f>trendyol_final__most_rated_AutoRecovered___2[[#This Row],[price]]/trendyol_final__most_rated_AutoRecovered___2[[#This Row],[product_size]]*100</f>
        <v>107.05882352941177</v>
      </c>
    </row>
    <row r="34" spans="1:8" x14ac:dyDescent="0.3">
      <c r="A34">
        <v>17</v>
      </c>
      <c r="B34" t="s">
        <v>364</v>
      </c>
      <c r="C34" t="s">
        <v>368</v>
      </c>
      <c r="D34" s="3">
        <v>347.9</v>
      </c>
      <c r="E34">
        <v>340</v>
      </c>
      <c r="F34">
        <v>1375</v>
      </c>
      <c r="G34">
        <v>4.3</v>
      </c>
      <c r="H34" s="3">
        <f>trendyol_final__most_rated_AutoRecovered___2[[#This Row],[price]]/trendyol_final__most_rated_AutoRecovered___2[[#This Row],[product_size]]*100</f>
        <v>102.3235294117647</v>
      </c>
    </row>
    <row r="35" spans="1:8" x14ac:dyDescent="0.3">
      <c r="A35">
        <v>39</v>
      </c>
      <c r="B35" t="s">
        <v>100</v>
      </c>
      <c r="C35" t="s">
        <v>395</v>
      </c>
      <c r="D35" s="3">
        <v>178.5</v>
      </c>
      <c r="E35">
        <v>300</v>
      </c>
      <c r="F35">
        <v>441</v>
      </c>
      <c r="G35">
        <v>4.5</v>
      </c>
      <c r="H35" s="3">
        <f>trendyol_final__most_rated_AutoRecovered___2[[#This Row],[price]]/trendyol_final__most_rated_AutoRecovered___2[[#This Row],[product_size]]*100</f>
        <v>59.5</v>
      </c>
    </row>
    <row r="36" spans="1:8" x14ac:dyDescent="0.3">
      <c r="A36">
        <v>59</v>
      </c>
      <c r="B36" t="s">
        <v>100</v>
      </c>
      <c r="C36" t="s">
        <v>424</v>
      </c>
      <c r="D36" s="3">
        <v>367.5</v>
      </c>
      <c r="E36">
        <v>800</v>
      </c>
      <c r="F36">
        <v>285</v>
      </c>
      <c r="G36">
        <v>4.5999999999999996</v>
      </c>
      <c r="H36" s="3">
        <f>trendyol_final__most_rated_AutoRecovered___2[[#This Row],[price]]/trendyol_final__most_rated_AutoRecovered___2[[#This Row],[product_size]]*100</f>
        <v>45.9375</v>
      </c>
    </row>
    <row r="37" spans="1:8" x14ac:dyDescent="0.3">
      <c r="A37">
        <v>87</v>
      </c>
      <c r="B37" t="s">
        <v>100</v>
      </c>
      <c r="C37" t="s">
        <v>394</v>
      </c>
      <c r="D37" s="3">
        <v>178.5</v>
      </c>
      <c r="E37">
        <v>300</v>
      </c>
      <c r="F37">
        <v>179</v>
      </c>
      <c r="G37">
        <v>4.4000000000000004</v>
      </c>
      <c r="H37" s="3">
        <f>trendyol_final__most_rated_AutoRecovered___2[[#This Row],[price]]/trendyol_final__most_rated_AutoRecovered___2[[#This Row],[product_size]]*100</f>
        <v>59.5</v>
      </c>
    </row>
    <row r="38" spans="1:8" x14ac:dyDescent="0.3">
      <c r="A38">
        <v>115</v>
      </c>
      <c r="B38" t="s">
        <v>100</v>
      </c>
      <c r="C38" t="s">
        <v>373</v>
      </c>
      <c r="D38" s="3">
        <v>349</v>
      </c>
      <c r="E38">
        <v>350</v>
      </c>
      <c r="F38">
        <v>139</v>
      </c>
      <c r="G38">
        <v>4.5</v>
      </c>
      <c r="H38" s="3">
        <f>trendyol_final__most_rated_AutoRecovered___2[[#This Row],[price]]/trendyol_final__most_rated_AutoRecovered___2[[#This Row],[product_size]]*100</f>
        <v>99.714285714285708</v>
      </c>
    </row>
    <row r="39" spans="1:8" x14ac:dyDescent="0.3">
      <c r="A39">
        <v>112</v>
      </c>
      <c r="B39" t="s">
        <v>105</v>
      </c>
      <c r="C39" t="s">
        <v>357</v>
      </c>
      <c r="D39" s="3">
        <v>510.12</v>
      </c>
      <c r="E39">
        <v>400</v>
      </c>
      <c r="F39">
        <v>142</v>
      </c>
      <c r="G39">
        <v>4.5999999999999996</v>
      </c>
      <c r="H39" s="3">
        <f>trendyol_final__most_rated_AutoRecovered___2[[#This Row],[price]]/trendyol_final__most_rated_AutoRecovered___2[[#This Row],[product_size]]*100</f>
        <v>127.53000000000002</v>
      </c>
    </row>
    <row r="40" spans="1:8" x14ac:dyDescent="0.3">
      <c r="A40">
        <v>64</v>
      </c>
      <c r="B40" t="s">
        <v>354</v>
      </c>
      <c r="C40" t="s">
        <v>355</v>
      </c>
      <c r="D40" s="3">
        <v>498</v>
      </c>
      <c r="E40">
        <v>350</v>
      </c>
      <c r="F40">
        <v>260</v>
      </c>
      <c r="G40">
        <v>4.9000000000000004</v>
      </c>
      <c r="H40" s="3">
        <f>trendyol_final__most_rated_AutoRecovered___2[[#This Row],[price]]/trendyol_final__most_rated_AutoRecovered___2[[#This Row],[product_size]]*100</f>
        <v>142.28571428571428</v>
      </c>
    </row>
    <row r="41" spans="1:8" x14ac:dyDescent="0.3">
      <c r="A41">
        <v>82</v>
      </c>
      <c r="B41" t="s">
        <v>108</v>
      </c>
      <c r="C41" t="s">
        <v>419</v>
      </c>
      <c r="D41" s="3">
        <v>400</v>
      </c>
      <c r="E41">
        <v>675</v>
      </c>
      <c r="F41">
        <v>190</v>
      </c>
      <c r="G41">
        <v>4.4000000000000004</v>
      </c>
      <c r="H41" s="3">
        <f>trendyol_final__most_rated_AutoRecovered___2[[#This Row],[price]]/trendyol_final__most_rated_AutoRecovered___2[[#This Row],[product_size]]*100</f>
        <v>59.259259259259252</v>
      </c>
    </row>
    <row r="42" spans="1:8" x14ac:dyDescent="0.3">
      <c r="A42">
        <v>60</v>
      </c>
      <c r="B42" t="s">
        <v>431</v>
      </c>
      <c r="C42" t="s">
        <v>432</v>
      </c>
      <c r="D42" s="3">
        <v>650</v>
      </c>
      <c r="E42">
        <v>250</v>
      </c>
      <c r="F42">
        <v>283</v>
      </c>
      <c r="G42">
        <v>4.5999999999999996</v>
      </c>
      <c r="H42" s="3">
        <f>trendyol_final__most_rated_AutoRecovered___2[[#This Row],[price]]/trendyol_final__most_rated_AutoRecovered___2[[#This Row],[product_size]]*100</f>
        <v>260</v>
      </c>
    </row>
    <row r="43" spans="1:8" x14ac:dyDescent="0.3">
      <c r="A43">
        <v>37</v>
      </c>
      <c r="B43" t="s">
        <v>271</v>
      </c>
      <c r="C43" t="s">
        <v>377</v>
      </c>
      <c r="D43" s="3">
        <v>449.1</v>
      </c>
      <c r="E43">
        <v>500</v>
      </c>
      <c r="F43">
        <v>459</v>
      </c>
      <c r="G43">
        <v>4.8</v>
      </c>
      <c r="H43" s="3">
        <f>trendyol_final__most_rated_AutoRecovered___2[[#This Row],[price]]/trendyol_final__most_rated_AutoRecovered___2[[#This Row],[product_size]]*100</f>
        <v>89.82</v>
      </c>
    </row>
    <row r="44" spans="1:8" x14ac:dyDescent="0.3">
      <c r="A44">
        <v>102</v>
      </c>
      <c r="B44" t="s">
        <v>271</v>
      </c>
      <c r="C44" t="s">
        <v>333</v>
      </c>
      <c r="D44" s="3">
        <v>494.1</v>
      </c>
      <c r="E44">
        <v>250</v>
      </c>
      <c r="F44">
        <v>151</v>
      </c>
      <c r="G44">
        <v>4.8</v>
      </c>
      <c r="H44" s="3">
        <f>trendyol_final__most_rated_AutoRecovered___2[[#This Row],[price]]/trendyol_final__most_rated_AutoRecovered___2[[#This Row],[product_size]]*100</f>
        <v>197.64000000000001</v>
      </c>
    </row>
    <row r="45" spans="1:8" x14ac:dyDescent="0.3">
      <c r="A45">
        <v>93</v>
      </c>
      <c r="B45" t="s">
        <v>391</v>
      </c>
      <c r="C45" t="s">
        <v>392</v>
      </c>
      <c r="D45" s="3">
        <v>197.9</v>
      </c>
      <c r="E45">
        <v>300</v>
      </c>
      <c r="F45">
        <v>164</v>
      </c>
      <c r="G45">
        <v>4.3</v>
      </c>
      <c r="H45" s="3">
        <f>trendyol_final__most_rated_AutoRecovered___2[[#This Row],[price]]/trendyol_final__most_rated_AutoRecovered___2[[#This Row],[product_size]]*100</f>
        <v>65.966666666666669</v>
      </c>
    </row>
    <row r="46" spans="1:8" x14ac:dyDescent="0.3">
      <c r="A46">
        <v>40</v>
      </c>
      <c r="B46" t="s">
        <v>114</v>
      </c>
      <c r="C46" t="s">
        <v>342</v>
      </c>
      <c r="D46" s="3">
        <v>499</v>
      </c>
      <c r="E46">
        <v>300</v>
      </c>
      <c r="F46">
        <v>436</v>
      </c>
      <c r="G46">
        <v>4.0999999999999996</v>
      </c>
      <c r="H46" s="3">
        <f>trendyol_final__most_rated_AutoRecovered___2[[#This Row],[price]]/trendyol_final__most_rated_AutoRecovered___2[[#This Row],[product_size]]*100</f>
        <v>166.33333333333334</v>
      </c>
    </row>
    <row r="47" spans="1:8" x14ac:dyDescent="0.3">
      <c r="A47">
        <v>110</v>
      </c>
      <c r="B47" t="s">
        <v>276</v>
      </c>
      <c r="C47" t="s">
        <v>337</v>
      </c>
      <c r="D47" s="3">
        <v>949.05</v>
      </c>
      <c r="E47">
        <v>500</v>
      </c>
      <c r="F47">
        <v>144</v>
      </c>
      <c r="G47">
        <v>4.5</v>
      </c>
      <c r="H47" s="3">
        <f>trendyol_final__most_rated_AutoRecovered___2[[#This Row],[price]]/trendyol_final__most_rated_AutoRecovered___2[[#This Row],[product_size]]*100</f>
        <v>189.81</v>
      </c>
    </row>
    <row r="48" spans="1:8" x14ac:dyDescent="0.3">
      <c r="A48">
        <v>109</v>
      </c>
      <c r="B48" t="s">
        <v>117</v>
      </c>
      <c r="C48" t="s">
        <v>367</v>
      </c>
      <c r="D48" s="3">
        <v>513.4</v>
      </c>
      <c r="E48">
        <v>500</v>
      </c>
      <c r="F48">
        <v>145</v>
      </c>
      <c r="G48">
        <v>4.5</v>
      </c>
      <c r="H48" s="3">
        <f>trendyol_final__most_rated_AutoRecovered___2[[#This Row],[price]]/trendyol_final__most_rated_AutoRecovered___2[[#This Row],[product_size]]*100</f>
        <v>102.67999999999999</v>
      </c>
    </row>
    <row r="49" spans="1:8" x14ac:dyDescent="0.3">
      <c r="A49">
        <v>28</v>
      </c>
      <c r="B49" t="s">
        <v>279</v>
      </c>
      <c r="C49" t="s">
        <v>356</v>
      </c>
      <c r="D49" s="3">
        <v>331.55</v>
      </c>
      <c r="E49">
        <v>250</v>
      </c>
      <c r="F49">
        <v>719</v>
      </c>
      <c r="G49">
        <v>4.4000000000000004</v>
      </c>
      <c r="H49" s="3">
        <f>trendyol_final__most_rated_AutoRecovered___2[[#This Row],[price]]/trendyol_final__most_rated_AutoRecovered___2[[#This Row],[product_size]]*100</f>
        <v>132.62</v>
      </c>
    </row>
    <row r="50" spans="1:8" x14ac:dyDescent="0.3">
      <c r="A50">
        <v>114</v>
      </c>
      <c r="B50" t="s">
        <v>282</v>
      </c>
      <c r="C50" t="s">
        <v>360</v>
      </c>
      <c r="D50" s="3">
        <v>456.35</v>
      </c>
      <c r="E50">
        <v>400</v>
      </c>
      <c r="F50">
        <v>139</v>
      </c>
      <c r="G50">
        <v>4.9000000000000004</v>
      </c>
      <c r="H50" s="3">
        <f>trendyol_final__most_rated_AutoRecovered___2[[#This Row],[price]]/trendyol_final__most_rated_AutoRecovered___2[[#This Row],[product_size]]*100</f>
        <v>114.08750000000001</v>
      </c>
    </row>
    <row r="51" spans="1:8" x14ac:dyDescent="0.3">
      <c r="A51">
        <v>48</v>
      </c>
      <c r="B51" t="s">
        <v>120</v>
      </c>
      <c r="C51" t="s">
        <v>121</v>
      </c>
      <c r="D51" s="3">
        <v>299</v>
      </c>
      <c r="E51">
        <v>250</v>
      </c>
      <c r="F51">
        <v>314</v>
      </c>
      <c r="G51">
        <v>4.2</v>
      </c>
      <c r="H51" s="3">
        <f>trendyol_final__most_rated_AutoRecovered___2[[#This Row],[price]]/trendyol_final__most_rated_AutoRecovered___2[[#This Row],[product_size]]*100</f>
        <v>119.6</v>
      </c>
    </row>
    <row r="52" spans="1:8" x14ac:dyDescent="0.3">
      <c r="A52">
        <v>79</v>
      </c>
      <c r="B52" t="s">
        <v>374</v>
      </c>
      <c r="C52" t="s">
        <v>375</v>
      </c>
      <c r="D52" s="3">
        <v>482.46</v>
      </c>
      <c r="E52">
        <v>500</v>
      </c>
      <c r="F52">
        <v>193</v>
      </c>
      <c r="G52">
        <v>4.9000000000000004</v>
      </c>
      <c r="H52" s="3">
        <f>trendyol_final__most_rated_AutoRecovered___2[[#This Row],[price]]/trendyol_final__most_rated_AutoRecovered___2[[#This Row],[product_size]]*100</f>
        <v>96.492000000000004</v>
      </c>
    </row>
    <row r="53" spans="1:8" x14ac:dyDescent="0.3">
      <c r="A53">
        <v>84</v>
      </c>
      <c r="B53" t="s">
        <v>374</v>
      </c>
      <c r="C53" t="s">
        <v>376</v>
      </c>
      <c r="D53" s="3">
        <v>468.35</v>
      </c>
      <c r="E53">
        <v>500</v>
      </c>
      <c r="F53">
        <v>184</v>
      </c>
      <c r="G53">
        <v>4.9000000000000004</v>
      </c>
      <c r="H53" s="3">
        <f>trendyol_final__most_rated_AutoRecovered___2[[#This Row],[price]]/trendyol_final__most_rated_AutoRecovered___2[[#This Row],[product_size]]*100</f>
        <v>93.670000000000016</v>
      </c>
    </row>
    <row r="54" spans="1:8" x14ac:dyDescent="0.3">
      <c r="A54">
        <v>116</v>
      </c>
      <c r="B54" t="s">
        <v>374</v>
      </c>
      <c r="C54" t="s">
        <v>389</v>
      </c>
      <c r="D54" s="3">
        <v>350</v>
      </c>
      <c r="E54">
        <v>500</v>
      </c>
      <c r="F54">
        <v>137</v>
      </c>
      <c r="G54">
        <v>4.8</v>
      </c>
      <c r="H54" s="3">
        <f>trendyol_final__most_rated_AutoRecovered___2[[#This Row],[price]]/trendyol_final__most_rated_AutoRecovered___2[[#This Row],[product_size]]*100</f>
        <v>70</v>
      </c>
    </row>
    <row r="55" spans="1:8" x14ac:dyDescent="0.3">
      <c r="A55">
        <v>2</v>
      </c>
      <c r="B55" t="s">
        <v>129</v>
      </c>
      <c r="C55" t="s">
        <v>359</v>
      </c>
      <c r="D55" s="3">
        <v>467</v>
      </c>
      <c r="E55">
        <v>400</v>
      </c>
      <c r="F55">
        <v>8325</v>
      </c>
      <c r="G55">
        <v>4</v>
      </c>
      <c r="H55" s="3">
        <f>trendyol_final__most_rated_AutoRecovered___2[[#This Row],[price]]/trendyol_final__most_rated_AutoRecovered___2[[#This Row],[product_size]]*100</f>
        <v>116.75</v>
      </c>
    </row>
    <row r="56" spans="1:8" x14ac:dyDescent="0.3">
      <c r="A56">
        <v>85</v>
      </c>
      <c r="B56" t="s">
        <v>134</v>
      </c>
      <c r="C56" t="s">
        <v>423</v>
      </c>
      <c r="D56" s="3">
        <v>549</v>
      </c>
      <c r="E56">
        <v>250</v>
      </c>
      <c r="F56">
        <v>181</v>
      </c>
      <c r="G56">
        <v>4.3</v>
      </c>
      <c r="H56" s="3">
        <f>trendyol_final__most_rated_AutoRecovered___2[[#This Row],[price]]/trendyol_final__most_rated_AutoRecovered___2[[#This Row],[product_size]]*100</f>
        <v>219.60000000000002</v>
      </c>
    </row>
    <row r="57" spans="1:8" x14ac:dyDescent="0.3">
      <c r="A57">
        <v>95</v>
      </c>
      <c r="B57" t="s">
        <v>287</v>
      </c>
      <c r="C57" t="s">
        <v>328</v>
      </c>
      <c r="D57" s="3">
        <v>703</v>
      </c>
      <c r="E57">
        <v>250</v>
      </c>
      <c r="F57">
        <v>160</v>
      </c>
      <c r="G57">
        <v>5</v>
      </c>
      <c r="H57" s="3">
        <f>trendyol_final__most_rated_AutoRecovered___2[[#This Row],[price]]/trendyol_final__most_rated_AutoRecovered___2[[#This Row],[product_size]]*100</f>
        <v>281.2</v>
      </c>
    </row>
    <row r="58" spans="1:8" x14ac:dyDescent="0.3">
      <c r="A58">
        <v>96</v>
      </c>
      <c r="B58" t="s">
        <v>137</v>
      </c>
      <c r="C58" t="s">
        <v>408</v>
      </c>
      <c r="D58" s="3">
        <v>499</v>
      </c>
      <c r="E58">
        <v>400</v>
      </c>
      <c r="F58">
        <v>158</v>
      </c>
      <c r="G58">
        <v>4.2</v>
      </c>
      <c r="H58" s="3">
        <f>trendyol_final__most_rated_AutoRecovered___2[[#This Row],[price]]/trendyol_final__most_rated_AutoRecovered___2[[#This Row],[product_size]]*100</f>
        <v>124.75</v>
      </c>
    </row>
    <row r="59" spans="1:8" x14ac:dyDescent="0.3">
      <c r="A59">
        <v>72</v>
      </c>
      <c r="B59" t="s">
        <v>425</v>
      </c>
      <c r="C59" t="s">
        <v>426</v>
      </c>
      <c r="D59" s="3">
        <v>236.55</v>
      </c>
      <c r="E59">
        <v>355</v>
      </c>
      <c r="F59">
        <v>227</v>
      </c>
      <c r="G59">
        <v>4.2</v>
      </c>
      <c r="H59" s="3">
        <f>trendyol_final__most_rated_AutoRecovered___2[[#This Row],[price]]/trendyol_final__most_rated_AutoRecovered___2[[#This Row],[product_size]]*100</f>
        <v>66.633802816901408</v>
      </c>
    </row>
    <row r="60" spans="1:8" x14ac:dyDescent="0.3">
      <c r="A60">
        <v>7</v>
      </c>
      <c r="B60" t="s">
        <v>343</v>
      </c>
      <c r="C60" t="s">
        <v>353</v>
      </c>
      <c r="D60" s="3">
        <v>363</v>
      </c>
      <c r="E60">
        <v>250</v>
      </c>
      <c r="F60">
        <v>2818</v>
      </c>
      <c r="G60">
        <v>4.5</v>
      </c>
      <c r="H60" s="3">
        <f>trendyol_final__most_rated_AutoRecovered___2[[#This Row],[price]]/trendyol_final__most_rated_AutoRecovered___2[[#This Row],[product_size]]*100</f>
        <v>145.19999999999999</v>
      </c>
    </row>
    <row r="61" spans="1:8" x14ac:dyDescent="0.3">
      <c r="A61">
        <v>10</v>
      </c>
      <c r="B61" t="s">
        <v>343</v>
      </c>
      <c r="C61" t="s">
        <v>350</v>
      </c>
      <c r="D61" s="3">
        <v>389</v>
      </c>
      <c r="E61">
        <v>250</v>
      </c>
      <c r="F61">
        <v>2172</v>
      </c>
      <c r="G61">
        <v>4.5999999999999996</v>
      </c>
      <c r="H61" s="3">
        <f>trendyol_final__most_rated_AutoRecovered___2[[#This Row],[price]]/trendyol_final__most_rated_AutoRecovered___2[[#This Row],[product_size]]*100</f>
        <v>155.6</v>
      </c>
    </row>
    <row r="62" spans="1:8" x14ac:dyDescent="0.3">
      <c r="A62">
        <v>25</v>
      </c>
      <c r="B62" t="s">
        <v>343</v>
      </c>
      <c r="C62" t="s">
        <v>344</v>
      </c>
      <c r="D62" s="3">
        <v>399</v>
      </c>
      <c r="E62">
        <v>250</v>
      </c>
      <c r="F62">
        <v>838</v>
      </c>
      <c r="G62">
        <v>4.5</v>
      </c>
      <c r="H62" s="3">
        <f>trendyol_final__most_rated_AutoRecovered___2[[#This Row],[price]]/trendyol_final__most_rated_AutoRecovered___2[[#This Row],[product_size]]*100</f>
        <v>159.60000000000002</v>
      </c>
    </row>
    <row r="63" spans="1:8" x14ac:dyDescent="0.3">
      <c r="A63">
        <v>89</v>
      </c>
      <c r="B63" t="s">
        <v>145</v>
      </c>
      <c r="C63" t="s">
        <v>385</v>
      </c>
      <c r="D63" s="3">
        <v>319.2</v>
      </c>
      <c r="E63">
        <v>400</v>
      </c>
      <c r="F63">
        <v>173</v>
      </c>
      <c r="G63">
        <v>4.5</v>
      </c>
      <c r="H63" s="3">
        <f>trendyol_final__most_rated_AutoRecovered___2[[#This Row],[price]]/trendyol_final__most_rated_AutoRecovered___2[[#This Row],[product_size]]*100</f>
        <v>79.8</v>
      </c>
    </row>
    <row r="64" spans="1:8" x14ac:dyDescent="0.3">
      <c r="A64">
        <v>108</v>
      </c>
      <c r="B64" t="s">
        <v>145</v>
      </c>
      <c r="C64" t="s">
        <v>390</v>
      </c>
      <c r="D64" s="3">
        <v>274</v>
      </c>
      <c r="E64">
        <v>400</v>
      </c>
      <c r="F64">
        <v>147</v>
      </c>
      <c r="G64">
        <v>4.4000000000000004</v>
      </c>
      <c r="H64" s="3">
        <f>trendyol_final__most_rated_AutoRecovered___2[[#This Row],[price]]/trendyol_final__most_rated_AutoRecovered___2[[#This Row],[product_size]]*100</f>
        <v>68.5</v>
      </c>
    </row>
    <row r="65" spans="1:8" x14ac:dyDescent="0.3">
      <c r="A65">
        <v>62</v>
      </c>
      <c r="B65" t="s">
        <v>150</v>
      </c>
      <c r="C65" t="s">
        <v>384</v>
      </c>
      <c r="D65" s="3">
        <v>320</v>
      </c>
      <c r="E65">
        <v>400</v>
      </c>
      <c r="F65">
        <v>269</v>
      </c>
      <c r="G65">
        <v>4.5</v>
      </c>
      <c r="H65" s="3">
        <f>trendyol_final__most_rated_AutoRecovered___2[[#This Row],[price]]/trendyol_final__most_rated_AutoRecovered___2[[#This Row],[product_size]]*100</f>
        <v>80</v>
      </c>
    </row>
    <row r="66" spans="1:8" x14ac:dyDescent="0.3">
      <c r="A66">
        <v>56</v>
      </c>
      <c r="B66" t="s">
        <v>409</v>
      </c>
      <c r="C66" t="s">
        <v>410</v>
      </c>
      <c r="D66" s="3">
        <v>375</v>
      </c>
      <c r="E66">
        <v>300</v>
      </c>
      <c r="F66">
        <v>296</v>
      </c>
      <c r="G66">
        <v>4.3</v>
      </c>
      <c r="H66" s="3">
        <f>trendyol_final__most_rated_AutoRecovered___2[[#This Row],[price]]/trendyol_final__most_rated_AutoRecovered___2[[#This Row],[product_size]]*100</f>
        <v>125</v>
      </c>
    </row>
    <row r="67" spans="1:8" x14ac:dyDescent="0.3">
      <c r="A67">
        <v>55</v>
      </c>
      <c r="B67" t="s">
        <v>293</v>
      </c>
      <c r="C67" t="s">
        <v>429</v>
      </c>
      <c r="D67" s="3">
        <v>318.60000000000002</v>
      </c>
      <c r="E67">
        <v>420</v>
      </c>
      <c r="F67">
        <v>298</v>
      </c>
      <c r="G67">
        <v>4.2</v>
      </c>
      <c r="H67" s="3">
        <f>trendyol_final__most_rated_AutoRecovered___2[[#This Row],[price]]/trendyol_final__most_rated_AutoRecovered___2[[#This Row],[product_size]]*100</f>
        <v>75.857142857142861</v>
      </c>
    </row>
    <row r="68" spans="1:8" x14ac:dyDescent="0.3">
      <c r="A68">
        <v>70</v>
      </c>
      <c r="B68" t="s">
        <v>296</v>
      </c>
      <c r="C68" t="s">
        <v>349</v>
      </c>
      <c r="D68" s="3">
        <v>312.55</v>
      </c>
      <c r="E68">
        <v>200</v>
      </c>
      <c r="F68">
        <v>231</v>
      </c>
      <c r="G68">
        <v>4.9000000000000004</v>
      </c>
      <c r="H68" s="3">
        <f>trendyol_final__most_rated_AutoRecovered___2[[#This Row],[price]]/trendyol_final__most_rated_AutoRecovered___2[[#This Row],[product_size]]*100</f>
        <v>156.27500000000001</v>
      </c>
    </row>
    <row r="69" spans="1:8" x14ac:dyDescent="0.3">
      <c r="A69">
        <v>92</v>
      </c>
      <c r="B69" t="s">
        <v>296</v>
      </c>
      <c r="C69" t="s">
        <v>382</v>
      </c>
      <c r="D69" s="3">
        <v>416.19</v>
      </c>
      <c r="E69">
        <v>500</v>
      </c>
      <c r="F69">
        <v>166</v>
      </c>
      <c r="G69">
        <v>4.8</v>
      </c>
      <c r="H69" s="3">
        <f>trendyol_final__most_rated_AutoRecovered___2[[#This Row],[price]]/trendyol_final__most_rated_AutoRecovered___2[[#This Row],[product_size]]*100</f>
        <v>83.238</v>
      </c>
    </row>
    <row r="70" spans="1:8" x14ac:dyDescent="0.3">
      <c r="A70">
        <v>76</v>
      </c>
      <c r="B70" t="s">
        <v>301</v>
      </c>
      <c r="C70" t="s">
        <v>416</v>
      </c>
      <c r="D70" s="3">
        <v>519.91999999999996</v>
      </c>
      <c r="E70">
        <v>400</v>
      </c>
      <c r="F70">
        <v>196</v>
      </c>
      <c r="G70">
        <v>4.4000000000000004</v>
      </c>
      <c r="H70" s="3">
        <f>trendyol_final__most_rated_AutoRecovered___2[[#This Row],[price]]/trendyol_final__most_rated_AutoRecovered___2[[#This Row],[product_size]]*100</f>
        <v>129.97999999999999</v>
      </c>
    </row>
    <row r="71" spans="1:8" x14ac:dyDescent="0.3">
      <c r="A71">
        <v>91</v>
      </c>
      <c r="B71" t="s">
        <v>304</v>
      </c>
      <c r="C71" t="s">
        <v>378</v>
      </c>
      <c r="D71" s="3">
        <v>351.5</v>
      </c>
      <c r="E71">
        <v>400</v>
      </c>
      <c r="F71">
        <v>169</v>
      </c>
      <c r="G71">
        <v>4.3</v>
      </c>
      <c r="H71" s="3">
        <f>trendyol_final__most_rated_AutoRecovered___2[[#This Row],[price]]/trendyol_final__most_rated_AutoRecovered___2[[#This Row],[product_size]]*100</f>
        <v>87.875</v>
      </c>
    </row>
    <row r="72" spans="1:8" x14ac:dyDescent="0.3">
      <c r="A72">
        <v>77</v>
      </c>
      <c r="B72" t="s">
        <v>417</v>
      </c>
      <c r="C72" t="s">
        <v>418</v>
      </c>
      <c r="D72" s="3">
        <v>321</v>
      </c>
      <c r="E72">
        <v>390</v>
      </c>
      <c r="F72">
        <v>195</v>
      </c>
      <c r="G72">
        <v>4.5</v>
      </c>
      <c r="H72" s="3">
        <f>trendyol_final__most_rated_AutoRecovered___2[[#This Row],[price]]/trendyol_final__most_rated_AutoRecovered___2[[#This Row],[product_size]]*100</f>
        <v>82.307692307692307</v>
      </c>
    </row>
    <row r="73" spans="1:8" x14ac:dyDescent="0.3">
      <c r="A73">
        <v>63</v>
      </c>
      <c r="B73" t="s">
        <v>307</v>
      </c>
      <c r="C73" t="s">
        <v>414</v>
      </c>
      <c r="D73" s="3">
        <v>145</v>
      </c>
      <c r="E73">
        <v>750</v>
      </c>
      <c r="F73">
        <v>261</v>
      </c>
      <c r="G73">
        <v>4.4000000000000004</v>
      </c>
      <c r="H73" s="3">
        <f>trendyol_final__most_rated_AutoRecovered___2[[#This Row],[price]]/trendyol_final__most_rated_AutoRecovered___2[[#This Row],[product_size]]*100</f>
        <v>19.333333333333332</v>
      </c>
    </row>
    <row r="74" spans="1:8" x14ac:dyDescent="0.3">
      <c r="A74">
        <v>42</v>
      </c>
      <c r="B74" t="s">
        <v>166</v>
      </c>
      <c r="C74" t="s">
        <v>433</v>
      </c>
      <c r="D74" s="3">
        <v>459.9</v>
      </c>
      <c r="E74">
        <v>300</v>
      </c>
      <c r="F74">
        <v>188</v>
      </c>
      <c r="G74">
        <v>4.5999999999999996</v>
      </c>
      <c r="H74" s="3">
        <f>trendyol_final__most_rated_AutoRecovered___2[[#This Row],[price]]/trendyol_final__most_rated_AutoRecovered___2[[#This Row],[product_size]]*100</f>
        <v>153.29999999999998</v>
      </c>
    </row>
    <row r="75" spans="1:8" x14ac:dyDescent="0.3">
      <c r="A75">
        <v>32</v>
      </c>
      <c r="B75" t="s">
        <v>339</v>
      </c>
      <c r="C75" t="s">
        <v>340</v>
      </c>
      <c r="D75" s="3">
        <v>680</v>
      </c>
      <c r="E75">
        <v>400</v>
      </c>
      <c r="F75">
        <v>570</v>
      </c>
      <c r="G75">
        <v>4.9000000000000004</v>
      </c>
      <c r="H75" s="3">
        <f>trendyol_final__most_rated_AutoRecovered___2[[#This Row],[price]]/trendyol_final__most_rated_AutoRecovered___2[[#This Row],[product_size]]*100</f>
        <v>170</v>
      </c>
    </row>
    <row r="76" spans="1:8" x14ac:dyDescent="0.3">
      <c r="A76">
        <v>18</v>
      </c>
      <c r="B76" t="s">
        <v>169</v>
      </c>
      <c r="C76" t="s">
        <v>407</v>
      </c>
      <c r="D76" s="3">
        <v>252.34</v>
      </c>
      <c r="E76">
        <v>1000</v>
      </c>
      <c r="F76">
        <v>1354</v>
      </c>
      <c r="G76">
        <v>4.5999999999999996</v>
      </c>
      <c r="H76" s="3">
        <f>trendyol_final__most_rated_AutoRecovered___2[[#This Row],[price]]/trendyol_final__most_rated_AutoRecovered___2[[#This Row],[product_size]]*100</f>
        <v>25.234000000000002</v>
      </c>
    </row>
    <row r="77" spans="1:8" x14ac:dyDescent="0.3">
      <c r="A77">
        <v>107</v>
      </c>
      <c r="B77" t="s">
        <v>169</v>
      </c>
      <c r="C77" t="s">
        <v>406</v>
      </c>
      <c r="D77" s="3">
        <v>148</v>
      </c>
      <c r="E77">
        <v>500</v>
      </c>
      <c r="F77">
        <v>148</v>
      </c>
      <c r="G77">
        <v>4.5</v>
      </c>
      <c r="H77" s="3">
        <f>trendyol_final__most_rated_AutoRecovered___2[[#This Row],[price]]/trendyol_final__most_rated_AutoRecovered___2[[#This Row],[product_size]]*100</f>
        <v>29.599999999999998</v>
      </c>
    </row>
    <row r="78" spans="1:8" x14ac:dyDescent="0.3">
      <c r="A78">
        <v>57</v>
      </c>
      <c r="B78" t="s">
        <v>174</v>
      </c>
      <c r="C78" t="s">
        <v>439</v>
      </c>
      <c r="D78" s="3">
        <v>132.9</v>
      </c>
      <c r="E78">
        <v>500</v>
      </c>
      <c r="F78">
        <v>2134</v>
      </c>
      <c r="G78">
        <v>4.4000000000000004</v>
      </c>
      <c r="H78" s="3">
        <f>trendyol_final__most_rated_AutoRecovered___2[[#This Row],[price]]/trendyol_final__most_rated_AutoRecovered___2[[#This Row],[product_size]]*100</f>
        <v>26.580000000000005</v>
      </c>
    </row>
    <row r="79" spans="1:8" ht="15" x14ac:dyDescent="0.3">
      <c r="B79" t="s">
        <v>174</v>
      </c>
      <c r="C79" s="1" t="s">
        <v>440</v>
      </c>
      <c r="D79" s="3">
        <v>194.66</v>
      </c>
      <c r="E79">
        <v>1000</v>
      </c>
      <c r="F79">
        <v>797</v>
      </c>
      <c r="G79">
        <v>4.4000000000000004</v>
      </c>
      <c r="H79" s="3">
        <f>trendyol_final__most_rated_AutoRecovered___2[[#This Row],[price]]/trendyol_final__most_rated_AutoRecovered___2[[#This Row],[product_size]]*100</f>
        <v>19.466000000000001</v>
      </c>
    </row>
    <row r="80" spans="1:8" x14ac:dyDescent="0.3">
      <c r="A80">
        <v>34</v>
      </c>
      <c r="B80" t="s">
        <v>174</v>
      </c>
      <c r="C80" t="s">
        <v>428</v>
      </c>
      <c r="D80" s="3">
        <v>249</v>
      </c>
      <c r="E80">
        <v>900</v>
      </c>
      <c r="F80">
        <v>206</v>
      </c>
      <c r="G80">
        <v>4.5</v>
      </c>
      <c r="H80" s="3">
        <f>trendyol_final__most_rated_AutoRecovered___2[[#This Row],[price]]/trendyol_final__most_rated_AutoRecovered___2[[#This Row],[product_size]]*100</f>
        <v>27.666666666666668</v>
      </c>
    </row>
    <row r="81" spans="1:8" x14ac:dyDescent="0.3">
      <c r="A81">
        <v>111</v>
      </c>
      <c r="B81" t="s">
        <v>179</v>
      </c>
      <c r="C81" t="s">
        <v>362</v>
      </c>
      <c r="D81" s="3">
        <v>394.9</v>
      </c>
      <c r="E81">
        <v>360</v>
      </c>
      <c r="F81">
        <v>143</v>
      </c>
      <c r="G81">
        <v>4.5</v>
      </c>
      <c r="H81" s="3">
        <f>trendyol_final__most_rated_AutoRecovered___2[[#This Row],[price]]/trendyol_final__most_rated_AutoRecovered___2[[#This Row],[product_size]]*100</f>
        <v>109.69444444444443</v>
      </c>
    </row>
    <row r="82" spans="1:8" x14ac:dyDescent="0.3">
      <c r="A82">
        <v>5</v>
      </c>
      <c r="B82" t="s">
        <v>330</v>
      </c>
      <c r="C82" t="s">
        <v>331</v>
      </c>
      <c r="D82" s="3">
        <v>577.9</v>
      </c>
      <c r="E82">
        <v>250</v>
      </c>
      <c r="F82">
        <v>3128</v>
      </c>
      <c r="G82">
        <v>4.4000000000000004</v>
      </c>
      <c r="H82" s="3">
        <f>trendyol_final__most_rated_AutoRecovered___2[[#This Row],[price]]/trendyol_final__most_rated_AutoRecovered___2[[#This Row],[product_size]]*100</f>
        <v>231.16</v>
      </c>
    </row>
    <row r="83" spans="1:8" x14ac:dyDescent="0.3">
      <c r="A83">
        <v>29</v>
      </c>
      <c r="B83" t="s">
        <v>330</v>
      </c>
      <c r="C83" t="s">
        <v>336</v>
      </c>
      <c r="D83" s="3">
        <v>477.9</v>
      </c>
      <c r="E83">
        <v>250</v>
      </c>
      <c r="F83">
        <v>712</v>
      </c>
      <c r="G83">
        <v>4.8</v>
      </c>
      <c r="H83" s="3">
        <f>trendyol_final__most_rated_AutoRecovered___2[[#This Row],[price]]/trendyol_final__most_rated_AutoRecovered___2[[#This Row],[product_size]]*100</f>
        <v>191.16</v>
      </c>
    </row>
    <row r="84" spans="1:8" x14ac:dyDescent="0.3">
      <c r="A84">
        <v>36</v>
      </c>
      <c r="B84" t="s">
        <v>330</v>
      </c>
      <c r="C84" t="s">
        <v>366</v>
      </c>
      <c r="D84" s="3">
        <v>426.9</v>
      </c>
      <c r="E84">
        <v>400</v>
      </c>
      <c r="F84">
        <v>477</v>
      </c>
      <c r="G84">
        <v>4.7</v>
      </c>
      <c r="H84" s="3">
        <f>trendyol_final__most_rated_AutoRecovered___2[[#This Row],[price]]/trendyol_final__most_rated_AutoRecovered___2[[#This Row],[product_size]]*100</f>
        <v>106.72500000000001</v>
      </c>
    </row>
    <row r="85" spans="1:8" x14ac:dyDescent="0.3">
      <c r="A85">
        <v>35</v>
      </c>
      <c r="B85" t="s">
        <v>318</v>
      </c>
      <c r="C85" t="s">
        <v>338</v>
      </c>
      <c r="D85" s="3">
        <v>426.54</v>
      </c>
      <c r="E85">
        <v>250</v>
      </c>
      <c r="F85">
        <v>479</v>
      </c>
      <c r="G85">
        <v>4.9000000000000004</v>
      </c>
      <c r="H85" s="3">
        <f>trendyol_final__most_rated_AutoRecovered___2[[#This Row],[price]]/trendyol_final__most_rated_AutoRecovered___2[[#This Row],[product_size]]*100</f>
        <v>170.61600000000001</v>
      </c>
    </row>
    <row r="86" spans="1:8" x14ac:dyDescent="0.3">
      <c r="A86">
        <v>14</v>
      </c>
      <c r="B86" t="s">
        <v>182</v>
      </c>
      <c r="C86" t="s">
        <v>361</v>
      </c>
      <c r="D86" s="3">
        <v>399</v>
      </c>
      <c r="E86">
        <v>350</v>
      </c>
      <c r="F86">
        <v>1590</v>
      </c>
      <c r="G86">
        <v>4.3</v>
      </c>
      <c r="H86" s="3">
        <f>trendyol_final__most_rated_AutoRecovered___2[[#This Row],[price]]/trendyol_final__most_rated_AutoRecovered___2[[#This Row],[product_size]]*100</f>
        <v>113.99999999999999</v>
      </c>
    </row>
    <row r="87" spans="1:8" x14ac:dyDescent="0.3">
      <c r="A87">
        <v>24</v>
      </c>
      <c r="B87" t="s">
        <v>182</v>
      </c>
      <c r="C87" t="s">
        <v>363</v>
      </c>
      <c r="D87" s="3">
        <v>379</v>
      </c>
      <c r="E87">
        <v>350</v>
      </c>
      <c r="F87">
        <v>907</v>
      </c>
      <c r="G87">
        <v>4.3</v>
      </c>
      <c r="H87" s="3">
        <f>trendyol_final__most_rated_AutoRecovered___2[[#This Row],[price]]/trendyol_final__most_rated_AutoRecovered___2[[#This Row],[product_size]]*100</f>
        <v>108.28571428571429</v>
      </c>
    </row>
    <row r="88" spans="1:8" x14ac:dyDescent="0.3">
      <c r="A88">
        <v>81</v>
      </c>
      <c r="B88" t="s">
        <v>182</v>
      </c>
      <c r="C88" t="s">
        <v>352</v>
      </c>
      <c r="D88" s="3">
        <v>536.41</v>
      </c>
      <c r="E88">
        <v>350</v>
      </c>
      <c r="F88">
        <v>190</v>
      </c>
      <c r="G88">
        <v>4.4000000000000004</v>
      </c>
      <c r="H88" s="3">
        <f>trendyol_final__most_rated_AutoRecovered___2[[#This Row],[price]]/trendyol_final__most_rated_AutoRecovered___2[[#This Row],[product_size]]*100</f>
        <v>153.26</v>
      </c>
    </row>
    <row r="89" spans="1:8" x14ac:dyDescent="0.3">
      <c r="A89">
        <v>103</v>
      </c>
      <c r="B89" t="s">
        <v>182</v>
      </c>
      <c r="C89" t="s">
        <v>411</v>
      </c>
      <c r="D89" s="3">
        <v>449</v>
      </c>
      <c r="E89">
        <v>350</v>
      </c>
      <c r="F89">
        <v>151</v>
      </c>
      <c r="G89">
        <v>4.3</v>
      </c>
      <c r="H89" s="3">
        <f>trendyol_final__most_rated_AutoRecovered___2[[#This Row],[price]]/trendyol_final__most_rated_AutoRecovered___2[[#This Row],[product_size]]*100</f>
        <v>128.28571428571428</v>
      </c>
    </row>
    <row r="90" spans="1:8" x14ac:dyDescent="0.3">
      <c r="A90">
        <v>3</v>
      </c>
      <c r="B90" t="s">
        <v>192</v>
      </c>
      <c r="C90" t="s">
        <v>334</v>
      </c>
      <c r="D90" s="3">
        <v>582</v>
      </c>
      <c r="E90">
        <v>300</v>
      </c>
      <c r="F90">
        <v>5420</v>
      </c>
      <c r="G90">
        <v>4.4000000000000004</v>
      </c>
      <c r="H90" s="3">
        <f>trendyol_final__most_rated_AutoRecovered___2[[#This Row],[price]]/trendyol_final__most_rated_AutoRecovered___2[[#This Row],[product_size]]*100</f>
        <v>194</v>
      </c>
    </row>
    <row r="91" spans="1:8" x14ac:dyDescent="0.3">
      <c r="A91">
        <v>11</v>
      </c>
      <c r="B91" t="s">
        <v>192</v>
      </c>
      <c r="C91" t="s">
        <v>335</v>
      </c>
      <c r="D91" s="3">
        <v>580</v>
      </c>
      <c r="E91">
        <v>300</v>
      </c>
      <c r="F91">
        <v>2059</v>
      </c>
      <c r="G91">
        <v>4.3</v>
      </c>
      <c r="H91" s="3">
        <f>trendyol_final__most_rated_AutoRecovered___2[[#This Row],[price]]/trendyol_final__most_rated_AutoRecovered___2[[#This Row],[product_size]]*100</f>
        <v>193.33333333333334</v>
      </c>
    </row>
    <row r="92" spans="1:8" x14ac:dyDescent="0.3">
      <c r="A92">
        <v>4</v>
      </c>
      <c r="B92" t="s">
        <v>194</v>
      </c>
      <c r="C92" t="s">
        <v>341</v>
      </c>
      <c r="D92" s="3">
        <v>419</v>
      </c>
      <c r="E92">
        <v>250</v>
      </c>
      <c r="F92">
        <v>4933</v>
      </c>
      <c r="G92">
        <v>4.3</v>
      </c>
      <c r="H92" s="3">
        <f>trendyol_final__most_rated_AutoRecovered___2[[#This Row],[price]]/trendyol_final__most_rated_AutoRecovered___2[[#This Row],[product_size]]*100</f>
        <v>167.6</v>
      </c>
    </row>
    <row r="93" spans="1:8" x14ac:dyDescent="0.3">
      <c r="A93">
        <v>16</v>
      </c>
      <c r="B93" t="s">
        <v>198</v>
      </c>
      <c r="C93" t="s">
        <v>358</v>
      </c>
      <c r="D93" s="3">
        <v>473.3</v>
      </c>
      <c r="E93">
        <v>400</v>
      </c>
      <c r="F93">
        <v>1410</v>
      </c>
      <c r="G93">
        <v>4.3</v>
      </c>
      <c r="H93" s="3">
        <f>trendyol_final__most_rated_AutoRecovered___2[[#This Row],[price]]/trendyol_final__most_rated_AutoRecovered___2[[#This Row],[product_size]]*100</f>
        <v>118.32500000000002</v>
      </c>
    </row>
    <row r="94" spans="1:8" x14ac:dyDescent="0.3">
      <c r="A94">
        <v>21</v>
      </c>
      <c r="B94" t="s">
        <v>198</v>
      </c>
      <c r="C94" t="s">
        <v>400</v>
      </c>
      <c r="D94" s="3">
        <v>199.08</v>
      </c>
      <c r="E94">
        <v>400</v>
      </c>
      <c r="F94">
        <v>1147</v>
      </c>
      <c r="G94">
        <v>4.3</v>
      </c>
      <c r="H94" s="3">
        <f>trendyol_final__most_rated_AutoRecovered___2[[#This Row],[price]]/trendyol_final__most_rated_AutoRecovered___2[[#This Row],[product_size]]*100</f>
        <v>49.77</v>
      </c>
    </row>
    <row r="95" spans="1:8" x14ac:dyDescent="0.3">
      <c r="A95">
        <v>67</v>
      </c>
      <c r="B95" t="s">
        <v>321</v>
      </c>
      <c r="C95" t="s">
        <v>415</v>
      </c>
      <c r="D95" s="3">
        <v>501.93</v>
      </c>
      <c r="E95">
        <v>500</v>
      </c>
      <c r="F95">
        <v>252</v>
      </c>
      <c r="G95">
        <v>4.7</v>
      </c>
      <c r="H95" s="3">
        <f>trendyol_final__most_rated_AutoRecovered___2[[#This Row],[price]]/trendyol_final__most_rated_AutoRecovered___2[[#This Row],[product_size]]*100</f>
        <v>100.386</v>
      </c>
    </row>
    <row r="96" spans="1:8" x14ac:dyDescent="0.3">
      <c r="A96">
        <v>83</v>
      </c>
      <c r="B96" t="s">
        <v>321</v>
      </c>
      <c r="C96" t="s">
        <v>420</v>
      </c>
      <c r="D96" s="3">
        <v>492.23</v>
      </c>
      <c r="E96">
        <v>500</v>
      </c>
      <c r="F96">
        <v>186</v>
      </c>
      <c r="G96">
        <v>4.8</v>
      </c>
      <c r="H96" s="3">
        <f>trendyol_final__most_rated_AutoRecovered___2[[#This Row],[price]]/trendyol_final__most_rated_AutoRecovered___2[[#This Row],[product_size]]*100</f>
        <v>98.445999999999998</v>
      </c>
    </row>
    <row r="97" spans="1:8" x14ac:dyDescent="0.3">
      <c r="A97">
        <v>75</v>
      </c>
      <c r="B97" t="s">
        <v>370</v>
      </c>
      <c r="C97" t="s">
        <v>371</v>
      </c>
      <c r="D97" s="3">
        <v>399.9</v>
      </c>
      <c r="E97">
        <v>400</v>
      </c>
      <c r="F97">
        <v>197</v>
      </c>
      <c r="G97">
        <v>4.4000000000000004</v>
      </c>
      <c r="H97" s="3">
        <f>trendyol_final__most_rated_AutoRecovered___2[[#This Row],[price]]/trendyol_final__most_rated_AutoRecovered___2[[#This Row],[product_size]]*100</f>
        <v>99.974999999999994</v>
      </c>
    </row>
    <row r="98" spans="1:8" x14ac:dyDescent="0.3">
      <c r="A98">
        <v>71</v>
      </c>
      <c r="B98" t="s">
        <v>207</v>
      </c>
      <c r="C98" t="s">
        <v>427</v>
      </c>
      <c r="D98" s="3">
        <v>499</v>
      </c>
      <c r="E98">
        <v>450</v>
      </c>
      <c r="F98">
        <v>228</v>
      </c>
      <c r="G98">
        <v>4.8</v>
      </c>
      <c r="H98" s="3">
        <f>trendyol_final__most_rated_AutoRecovered___2[[#This Row],[price]]/trendyol_final__most_rated_AutoRecovered___2[[#This Row],[product_size]]*100</f>
        <v>110.88888888888889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AA260-B5D1-496D-9E29-2614CEA8D44D}">
  <dimension ref="A1:B2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444</v>
      </c>
      <c r="B1">
        <v>373.65</v>
      </c>
    </row>
    <row r="2" spans="1:2" x14ac:dyDescent="0.3">
      <c r="A2" t="s">
        <v>445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3595B-5C40-4BA0-A6B9-0328FEF5E7F6}">
  <dimension ref="A1:I101"/>
  <sheetViews>
    <sheetView tabSelected="1" topLeftCell="D1" workbookViewId="0"/>
  </sheetViews>
  <sheetFormatPr defaultRowHeight="14.4" x14ac:dyDescent="0.3"/>
  <cols>
    <col min="1" max="1" width="12.21875" bestFit="1" customWidth="1"/>
    <col min="2" max="2" width="19" bestFit="1" customWidth="1"/>
    <col min="3" max="3" width="12.6640625" bestFit="1" customWidth="1"/>
    <col min="4" max="4" width="80.88671875" bestFit="1" customWidth="1"/>
    <col min="5" max="5" width="15" bestFit="1" customWidth="1"/>
    <col min="6" max="6" width="80.88671875" bestFit="1" customWidth="1"/>
    <col min="7" max="7" width="13.88671875" bestFit="1" customWidth="1"/>
    <col min="8" max="8" width="11.44140625" bestFit="1" customWidth="1"/>
    <col min="9" max="9" width="14.77734375" bestFit="1" customWidth="1"/>
  </cols>
  <sheetData>
    <row r="1" spans="1:9" x14ac:dyDescent="0.3">
      <c r="A1" t="s">
        <v>454</v>
      </c>
      <c r="B1" t="s">
        <v>1</v>
      </c>
      <c r="C1" t="s">
        <v>10</v>
      </c>
      <c r="D1" t="s">
        <v>2</v>
      </c>
      <c r="E1" t="s">
        <v>526</v>
      </c>
      <c r="F1" t="s">
        <v>527</v>
      </c>
      <c r="G1" t="s">
        <v>327</v>
      </c>
      <c r="H1" t="s">
        <v>528</v>
      </c>
      <c r="I1" t="s">
        <v>529</v>
      </c>
    </row>
    <row r="2" spans="1:9" x14ac:dyDescent="0.3">
      <c r="A2">
        <v>1</v>
      </c>
      <c r="B2" s="11" t="s">
        <v>455</v>
      </c>
      <c r="C2">
        <v>3</v>
      </c>
      <c r="D2" s="11" t="s">
        <v>530</v>
      </c>
      <c r="E2">
        <v>1450</v>
      </c>
      <c r="F2" s="11" t="s">
        <v>530</v>
      </c>
      <c r="G2">
        <v>250</v>
      </c>
      <c r="H2" s="11" t="s">
        <v>531</v>
      </c>
      <c r="I2" s="11" t="s">
        <v>532</v>
      </c>
    </row>
    <row r="3" spans="1:9" x14ac:dyDescent="0.3">
      <c r="A3">
        <v>2</v>
      </c>
      <c r="B3" s="11" t="s">
        <v>456</v>
      </c>
      <c r="C3">
        <v>1</v>
      </c>
      <c r="D3" s="11" t="s">
        <v>533</v>
      </c>
      <c r="E3">
        <v>850</v>
      </c>
      <c r="F3" s="11" t="s">
        <v>533</v>
      </c>
      <c r="G3">
        <v>500</v>
      </c>
      <c r="H3" s="11" t="s">
        <v>531</v>
      </c>
      <c r="I3" s="11" t="s">
        <v>532</v>
      </c>
    </row>
    <row r="4" spans="1:9" x14ac:dyDescent="0.3">
      <c r="A4">
        <v>3</v>
      </c>
      <c r="B4" s="11" t="s">
        <v>457</v>
      </c>
      <c r="C4">
        <v>2</v>
      </c>
      <c r="D4" s="11" t="s">
        <v>534</v>
      </c>
      <c r="E4">
        <v>550</v>
      </c>
      <c r="F4" s="11" t="s">
        <v>534</v>
      </c>
      <c r="G4">
        <v>350</v>
      </c>
      <c r="H4" s="11" t="s">
        <v>531</v>
      </c>
      <c r="I4" s="11" t="s">
        <v>535</v>
      </c>
    </row>
    <row r="5" spans="1:9" x14ac:dyDescent="0.3">
      <c r="A5">
        <v>4</v>
      </c>
      <c r="B5" s="11" t="s">
        <v>458</v>
      </c>
      <c r="C5">
        <v>4</v>
      </c>
      <c r="D5" s="11" t="s">
        <v>536</v>
      </c>
      <c r="E5">
        <v>361</v>
      </c>
      <c r="F5" s="11" t="s">
        <v>536</v>
      </c>
      <c r="G5">
        <v>1000</v>
      </c>
      <c r="H5" s="11" t="s">
        <v>531</v>
      </c>
      <c r="I5" s="11" t="s">
        <v>532</v>
      </c>
    </row>
    <row r="6" spans="1:9" x14ac:dyDescent="0.3">
      <c r="A6">
        <v>5</v>
      </c>
      <c r="B6" s="11" t="s">
        <v>459</v>
      </c>
      <c r="C6">
        <v>6</v>
      </c>
      <c r="D6" s="11" t="s">
        <v>537</v>
      </c>
      <c r="E6">
        <v>950</v>
      </c>
      <c r="F6" s="11" t="s">
        <v>537</v>
      </c>
      <c r="G6">
        <v>350</v>
      </c>
      <c r="H6" s="11" t="s">
        <v>531</v>
      </c>
      <c r="I6" s="11" t="s">
        <v>535</v>
      </c>
    </row>
    <row r="7" spans="1:9" x14ac:dyDescent="0.3">
      <c r="A7">
        <v>6</v>
      </c>
      <c r="B7" s="11" t="s">
        <v>460</v>
      </c>
      <c r="C7">
        <v>7</v>
      </c>
      <c r="D7" s="11" t="s">
        <v>538</v>
      </c>
      <c r="E7">
        <v>190</v>
      </c>
      <c r="F7" s="11" t="s">
        <v>538</v>
      </c>
      <c r="G7">
        <v>360</v>
      </c>
      <c r="H7" s="11" t="s">
        <v>531</v>
      </c>
      <c r="I7" s="11" t="s">
        <v>535</v>
      </c>
    </row>
    <row r="8" spans="1:9" x14ac:dyDescent="0.3">
      <c r="A8">
        <v>6</v>
      </c>
      <c r="B8" s="11" t="s">
        <v>460</v>
      </c>
      <c r="C8">
        <v>8</v>
      </c>
      <c r="D8" s="11" t="s">
        <v>539</v>
      </c>
      <c r="E8">
        <v>870</v>
      </c>
      <c r="F8" s="11" t="s">
        <v>539</v>
      </c>
      <c r="G8">
        <v>360</v>
      </c>
      <c r="H8" s="11" t="s">
        <v>9</v>
      </c>
      <c r="I8" s="11" t="s">
        <v>532</v>
      </c>
    </row>
    <row r="9" spans="1:9" x14ac:dyDescent="0.3">
      <c r="A9">
        <v>6</v>
      </c>
      <c r="B9" s="11" t="s">
        <v>460</v>
      </c>
      <c r="C9">
        <v>9</v>
      </c>
      <c r="D9" s="11" t="s">
        <v>540</v>
      </c>
      <c r="E9">
        <v>588</v>
      </c>
      <c r="F9" s="11" t="s">
        <v>540</v>
      </c>
      <c r="G9">
        <v>900</v>
      </c>
      <c r="H9" s="11" t="s">
        <v>531</v>
      </c>
      <c r="I9" s="11" t="s">
        <v>541</v>
      </c>
    </row>
    <row r="10" spans="1:9" x14ac:dyDescent="0.3">
      <c r="A10">
        <v>6</v>
      </c>
      <c r="B10" s="11" t="s">
        <v>460</v>
      </c>
      <c r="C10">
        <v>10</v>
      </c>
      <c r="D10" s="11" t="s">
        <v>542</v>
      </c>
      <c r="E10">
        <v>200</v>
      </c>
      <c r="F10" s="11" t="s">
        <v>542</v>
      </c>
      <c r="G10">
        <v>360</v>
      </c>
      <c r="H10" s="11" t="s">
        <v>531</v>
      </c>
      <c r="I10" s="11" t="s">
        <v>543</v>
      </c>
    </row>
    <row r="11" spans="1:9" x14ac:dyDescent="0.3">
      <c r="A11">
        <v>6</v>
      </c>
      <c r="B11" s="11" t="s">
        <v>460</v>
      </c>
      <c r="C11">
        <v>11</v>
      </c>
      <c r="D11" s="11" t="s">
        <v>544</v>
      </c>
      <c r="E11">
        <v>200</v>
      </c>
      <c r="F11" s="11" t="s">
        <v>544</v>
      </c>
      <c r="G11">
        <v>360</v>
      </c>
      <c r="H11" s="11" t="s">
        <v>531</v>
      </c>
      <c r="I11" s="11" t="s">
        <v>543</v>
      </c>
    </row>
    <row r="12" spans="1:9" x14ac:dyDescent="0.3">
      <c r="A12">
        <v>7</v>
      </c>
      <c r="B12" s="11" t="s">
        <v>461</v>
      </c>
      <c r="C12">
        <v>5</v>
      </c>
      <c r="D12" s="11" t="s">
        <v>545</v>
      </c>
      <c r="E12">
        <v>470</v>
      </c>
      <c r="F12" s="11" t="s">
        <v>545</v>
      </c>
      <c r="H12" s="11" t="s">
        <v>531</v>
      </c>
      <c r="I12" s="11" t="s">
        <v>532</v>
      </c>
    </row>
    <row r="13" spans="1:9" x14ac:dyDescent="0.3">
      <c r="A13">
        <v>8</v>
      </c>
      <c r="B13" s="11" t="s">
        <v>462</v>
      </c>
      <c r="C13">
        <v>12</v>
      </c>
      <c r="D13" s="11" t="s">
        <v>546</v>
      </c>
      <c r="E13">
        <v>600</v>
      </c>
      <c r="F13" s="11" t="s">
        <v>546</v>
      </c>
      <c r="G13">
        <v>300</v>
      </c>
      <c r="H13" s="11" t="s">
        <v>9</v>
      </c>
      <c r="I13" s="11" t="s">
        <v>535</v>
      </c>
    </row>
    <row r="14" spans="1:9" x14ac:dyDescent="0.3">
      <c r="A14">
        <v>9</v>
      </c>
      <c r="B14" s="11" t="s">
        <v>463</v>
      </c>
      <c r="C14">
        <v>13</v>
      </c>
      <c r="D14" s="11" t="s">
        <v>547</v>
      </c>
      <c r="E14">
        <v>129</v>
      </c>
      <c r="F14" s="11" t="s">
        <v>547</v>
      </c>
      <c r="G14">
        <v>360</v>
      </c>
      <c r="H14" s="11" t="s">
        <v>531</v>
      </c>
      <c r="I14" s="11" t="s">
        <v>543</v>
      </c>
    </row>
    <row r="15" spans="1:9" x14ac:dyDescent="0.3">
      <c r="A15">
        <v>10</v>
      </c>
      <c r="B15" s="11" t="s">
        <v>464</v>
      </c>
      <c r="C15">
        <v>14</v>
      </c>
      <c r="D15" s="11" t="s">
        <v>548</v>
      </c>
      <c r="E15">
        <v>795</v>
      </c>
      <c r="F15" s="11" t="s">
        <v>548</v>
      </c>
      <c r="G15">
        <v>300</v>
      </c>
      <c r="H15" s="11" t="s">
        <v>531</v>
      </c>
      <c r="I15" s="11" t="s">
        <v>535</v>
      </c>
    </row>
    <row r="16" spans="1:9" x14ac:dyDescent="0.3">
      <c r="A16">
        <v>11</v>
      </c>
      <c r="B16" s="11" t="s">
        <v>465</v>
      </c>
      <c r="C16">
        <v>15</v>
      </c>
      <c r="D16" s="11" t="s">
        <v>549</v>
      </c>
      <c r="E16">
        <v>289</v>
      </c>
      <c r="F16" s="11" t="s">
        <v>549</v>
      </c>
      <c r="G16">
        <v>350</v>
      </c>
      <c r="H16" s="11" t="s">
        <v>531</v>
      </c>
      <c r="I16" s="11" t="s">
        <v>543</v>
      </c>
    </row>
    <row r="17" spans="1:9" x14ac:dyDescent="0.3">
      <c r="A17">
        <v>12</v>
      </c>
      <c r="B17" s="11" t="s">
        <v>466</v>
      </c>
      <c r="C17">
        <v>16</v>
      </c>
      <c r="D17" s="11" t="s">
        <v>550</v>
      </c>
      <c r="E17">
        <v>370</v>
      </c>
      <c r="F17" s="11" t="s">
        <v>550</v>
      </c>
      <c r="G17">
        <v>400</v>
      </c>
      <c r="H17" s="11" t="s">
        <v>531</v>
      </c>
      <c r="I17" s="11" t="s">
        <v>535</v>
      </c>
    </row>
    <row r="18" spans="1:9" x14ac:dyDescent="0.3">
      <c r="A18">
        <v>12</v>
      </c>
      <c r="B18" s="11" t="s">
        <v>466</v>
      </c>
      <c r="C18">
        <v>17</v>
      </c>
      <c r="D18" s="11" t="s">
        <v>551</v>
      </c>
      <c r="E18">
        <v>499</v>
      </c>
      <c r="F18" s="11" t="s">
        <v>551</v>
      </c>
      <c r="G18">
        <v>400</v>
      </c>
      <c r="H18" s="11" t="s">
        <v>531</v>
      </c>
      <c r="I18" s="11" t="s">
        <v>532</v>
      </c>
    </row>
    <row r="19" spans="1:9" x14ac:dyDescent="0.3">
      <c r="A19">
        <v>13</v>
      </c>
      <c r="B19" s="11" t="s">
        <v>467</v>
      </c>
      <c r="C19">
        <v>96</v>
      </c>
      <c r="D19" s="11" t="s">
        <v>552</v>
      </c>
      <c r="E19">
        <v>790</v>
      </c>
      <c r="F19" s="11" t="s">
        <v>552</v>
      </c>
      <c r="G19">
        <v>443</v>
      </c>
      <c r="H19" s="11" t="s">
        <v>531</v>
      </c>
      <c r="I19" s="11" t="s">
        <v>543</v>
      </c>
    </row>
    <row r="20" spans="1:9" x14ac:dyDescent="0.3">
      <c r="A20">
        <v>14</v>
      </c>
      <c r="B20" s="11" t="s">
        <v>468</v>
      </c>
      <c r="C20">
        <v>23</v>
      </c>
      <c r="D20" s="11" t="s">
        <v>553</v>
      </c>
      <c r="E20">
        <v>425</v>
      </c>
      <c r="F20" s="11" t="s">
        <v>553</v>
      </c>
      <c r="G20">
        <v>500</v>
      </c>
      <c r="H20" s="11" t="s">
        <v>531</v>
      </c>
      <c r="I20" s="11" t="s">
        <v>535</v>
      </c>
    </row>
    <row r="21" spans="1:9" x14ac:dyDescent="0.3">
      <c r="A21">
        <v>15</v>
      </c>
      <c r="B21" s="11" t="s">
        <v>469</v>
      </c>
      <c r="C21">
        <v>24</v>
      </c>
      <c r="D21" s="11" t="s">
        <v>554</v>
      </c>
      <c r="E21">
        <v>299</v>
      </c>
      <c r="F21" s="11" t="s">
        <v>554</v>
      </c>
      <c r="H21" s="11" t="s">
        <v>531</v>
      </c>
      <c r="I21" s="11" t="s">
        <v>543</v>
      </c>
    </row>
    <row r="22" spans="1:9" x14ac:dyDescent="0.3">
      <c r="A22">
        <v>16</v>
      </c>
      <c r="B22" s="11" t="s">
        <v>470</v>
      </c>
      <c r="C22">
        <v>18</v>
      </c>
      <c r="D22" s="11" t="s">
        <v>555</v>
      </c>
      <c r="E22">
        <v>315</v>
      </c>
      <c r="F22" s="11" t="s">
        <v>555</v>
      </c>
      <c r="G22">
        <v>250</v>
      </c>
      <c r="H22" s="11" t="s">
        <v>531</v>
      </c>
      <c r="I22" s="11" t="s">
        <v>535</v>
      </c>
    </row>
    <row r="23" spans="1:9" x14ac:dyDescent="0.3">
      <c r="A23">
        <v>17</v>
      </c>
      <c r="B23" s="11" t="s">
        <v>471</v>
      </c>
      <c r="C23">
        <v>19</v>
      </c>
      <c r="D23" s="11" t="s">
        <v>556</v>
      </c>
      <c r="E23">
        <v>295</v>
      </c>
      <c r="F23" s="11" t="s">
        <v>556</v>
      </c>
      <c r="G23">
        <v>700</v>
      </c>
      <c r="H23" s="11" t="s">
        <v>531</v>
      </c>
      <c r="I23" s="11" t="s">
        <v>535</v>
      </c>
    </row>
    <row r="24" spans="1:9" x14ac:dyDescent="0.3">
      <c r="A24">
        <v>17</v>
      </c>
      <c r="B24" s="11" t="s">
        <v>471</v>
      </c>
      <c r="C24">
        <v>20</v>
      </c>
      <c r="D24" s="11" t="s">
        <v>557</v>
      </c>
      <c r="E24">
        <v>295</v>
      </c>
      <c r="F24" s="11" t="s">
        <v>557</v>
      </c>
      <c r="G24">
        <v>700</v>
      </c>
      <c r="H24" s="11" t="s">
        <v>531</v>
      </c>
      <c r="I24" s="11" t="s">
        <v>535</v>
      </c>
    </row>
    <row r="25" spans="1:9" x14ac:dyDescent="0.3">
      <c r="A25">
        <v>18</v>
      </c>
      <c r="B25" s="11" t="s">
        <v>472</v>
      </c>
      <c r="C25">
        <v>25</v>
      </c>
      <c r="D25" s="11" t="s">
        <v>558</v>
      </c>
      <c r="E25">
        <v>720</v>
      </c>
      <c r="F25" s="11" t="s">
        <v>558</v>
      </c>
      <c r="G25">
        <v>400</v>
      </c>
      <c r="H25" s="11" t="s">
        <v>531</v>
      </c>
      <c r="I25" s="11" t="s">
        <v>543</v>
      </c>
    </row>
    <row r="26" spans="1:9" x14ac:dyDescent="0.3">
      <c r="A26">
        <v>19</v>
      </c>
      <c r="B26" s="11" t="s">
        <v>473</v>
      </c>
      <c r="C26">
        <v>26</v>
      </c>
      <c r="D26" s="11" t="s">
        <v>559</v>
      </c>
      <c r="E26">
        <v>328</v>
      </c>
      <c r="F26" s="11" t="s">
        <v>559</v>
      </c>
      <c r="H26" s="11" t="s">
        <v>531</v>
      </c>
      <c r="I26" s="11" t="s">
        <v>541</v>
      </c>
    </row>
    <row r="27" spans="1:9" x14ac:dyDescent="0.3">
      <c r="A27">
        <v>20</v>
      </c>
      <c r="B27" s="11" t="s">
        <v>474</v>
      </c>
      <c r="C27">
        <v>21</v>
      </c>
      <c r="D27" s="11" t="s">
        <v>560</v>
      </c>
      <c r="E27">
        <v>298</v>
      </c>
      <c r="F27" s="11" t="s">
        <v>560</v>
      </c>
      <c r="G27">
        <v>500</v>
      </c>
      <c r="H27" s="11" t="s">
        <v>9</v>
      </c>
      <c r="I27" s="11" t="s">
        <v>543</v>
      </c>
    </row>
    <row r="28" spans="1:9" x14ac:dyDescent="0.3">
      <c r="A28">
        <v>20</v>
      </c>
      <c r="B28" s="11" t="s">
        <v>474</v>
      </c>
      <c r="C28">
        <v>22</v>
      </c>
      <c r="D28" s="11" t="s">
        <v>561</v>
      </c>
      <c r="E28">
        <v>268</v>
      </c>
      <c r="F28" s="11" t="s">
        <v>561</v>
      </c>
      <c r="G28">
        <v>500</v>
      </c>
      <c r="H28" s="11" t="s">
        <v>9</v>
      </c>
      <c r="I28" s="11" t="s">
        <v>543</v>
      </c>
    </row>
    <row r="29" spans="1:9" x14ac:dyDescent="0.3">
      <c r="A29">
        <v>21</v>
      </c>
      <c r="B29" s="11" t="s">
        <v>475</v>
      </c>
      <c r="C29">
        <v>97</v>
      </c>
      <c r="D29" s="11" t="s">
        <v>562</v>
      </c>
      <c r="E29">
        <v>512</v>
      </c>
      <c r="F29" s="11" t="s">
        <v>562</v>
      </c>
      <c r="G29">
        <v>800</v>
      </c>
      <c r="H29" s="11" t="s">
        <v>9</v>
      </c>
      <c r="I29" s="11" t="s">
        <v>543</v>
      </c>
    </row>
    <row r="30" spans="1:9" x14ac:dyDescent="0.3">
      <c r="A30">
        <v>21</v>
      </c>
      <c r="B30" s="11" t="s">
        <v>475</v>
      </c>
      <c r="C30">
        <v>98</v>
      </c>
      <c r="D30" s="11" t="s">
        <v>563</v>
      </c>
      <c r="E30">
        <v>788</v>
      </c>
      <c r="F30" s="11" t="s">
        <v>563</v>
      </c>
      <c r="G30">
        <v>800</v>
      </c>
      <c r="H30" s="11" t="s">
        <v>9</v>
      </c>
      <c r="I30" s="11" t="s">
        <v>543</v>
      </c>
    </row>
    <row r="31" spans="1:9" x14ac:dyDescent="0.3">
      <c r="A31">
        <v>21</v>
      </c>
      <c r="B31" s="11" t="s">
        <v>475</v>
      </c>
      <c r="C31">
        <v>99</v>
      </c>
      <c r="D31" s="11" t="s">
        <v>564</v>
      </c>
      <c r="E31">
        <v>1507</v>
      </c>
      <c r="F31" s="11" t="s">
        <v>564</v>
      </c>
      <c r="G31">
        <v>500</v>
      </c>
      <c r="H31" s="11" t="s">
        <v>9</v>
      </c>
      <c r="I31" s="11" t="s">
        <v>543</v>
      </c>
    </row>
    <row r="32" spans="1:9" x14ac:dyDescent="0.3">
      <c r="A32">
        <v>21</v>
      </c>
      <c r="B32" s="11" t="s">
        <v>475</v>
      </c>
      <c r="C32">
        <v>100</v>
      </c>
      <c r="D32" s="11" t="s">
        <v>565</v>
      </c>
      <c r="E32">
        <v>352</v>
      </c>
      <c r="F32" s="11" t="s">
        <v>565</v>
      </c>
      <c r="G32">
        <v>800</v>
      </c>
      <c r="H32" s="11" t="s">
        <v>9</v>
      </c>
      <c r="I32" s="11" t="s">
        <v>543</v>
      </c>
    </row>
    <row r="33" spans="1:9" x14ac:dyDescent="0.3">
      <c r="A33">
        <v>22</v>
      </c>
      <c r="B33" s="11" t="s">
        <v>476</v>
      </c>
      <c r="C33">
        <v>27</v>
      </c>
      <c r="D33" s="11" t="s">
        <v>566</v>
      </c>
      <c r="E33">
        <v>1246</v>
      </c>
      <c r="F33" s="11" t="s">
        <v>566</v>
      </c>
      <c r="G33">
        <v>400</v>
      </c>
      <c r="H33" s="11" t="s">
        <v>531</v>
      </c>
      <c r="I33" s="11" t="s">
        <v>543</v>
      </c>
    </row>
    <row r="34" spans="1:9" x14ac:dyDescent="0.3">
      <c r="A34">
        <v>23</v>
      </c>
      <c r="B34" s="11" t="s">
        <v>477</v>
      </c>
      <c r="C34">
        <v>29</v>
      </c>
      <c r="D34" s="11" t="s">
        <v>567</v>
      </c>
      <c r="E34">
        <v>470</v>
      </c>
      <c r="F34" s="11" t="s">
        <v>567</v>
      </c>
      <c r="G34">
        <v>360</v>
      </c>
      <c r="H34" s="11" t="s">
        <v>531</v>
      </c>
      <c r="I34" s="11" t="s">
        <v>543</v>
      </c>
    </row>
    <row r="35" spans="1:9" x14ac:dyDescent="0.3">
      <c r="A35">
        <v>24</v>
      </c>
      <c r="B35" s="11" t="s">
        <v>478</v>
      </c>
      <c r="C35">
        <v>28</v>
      </c>
      <c r="D35" s="11" t="s">
        <v>568</v>
      </c>
      <c r="E35">
        <v>109</v>
      </c>
      <c r="F35" s="11" t="s">
        <v>568</v>
      </c>
      <c r="H35" s="11" t="s">
        <v>531</v>
      </c>
      <c r="I35" s="11" t="s">
        <v>535</v>
      </c>
    </row>
    <row r="36" spans="1:9" x14ac:dyDescent="0.3">
      <c r="A36">
        <v>25</v>
      </c>
      <c r="B36" s="11" t="s">
        <v>479</v>
      </c>
      <c r="C36">
        <v>30</v>
      </c>
      <c r="D36" s="11" t="s">
        <v>569</v>
      </c>
      <c r="E36">
        <v>737</v>
      </c>
      <c r="F36" s="11" t="s">
        <v>569</v>
      </c>
      <c r="H36" s="11" t="s">
        <v>9</v>
      </c>
      <c r="I36" s="11" t="s">
        <v>543</v>
      </c>
    </row>
    <row r="37" spans="1:9" x14ac:dyDescent="0.3">
      <c r="A37">
        <v>26</v>
      </c>
      <c r="B37" s="11" t="s">
        <v>480</v>
      </c>
      <c r="C37">
        <v>31</v>
      </c>
      <c r="D37" s="11" t="s">
        <v>570</v>
      </c>
      <c r="E37">
        <v>399</v>
      </c>
      <c r="F37" s="11" t="s">
        <v>570</v>
      </c>
      <c r="H37" s="11" t="s">
        <v>531</v>
      </c>
      <c r="I37" s="11" t="s">
        <v>543</v>
      </c>
    </row>
    <row r="38" spans="1:9" x14ac:dyDescent="0.3">
      <c r="A38">
        <v>27</v>
      </c>
      <c r="B38" s="11" t="s">
        <v>481</v>
      </c>
      <c r="C38">
        <v>32</v>
      </c>
      <c r="D38" s="11" t="s">
        <v>571</v>
      </c>
      <c r="E38">
        <v>695</v>
      </c>
      <c r="F38" s="11" t="s">
        <v>571</v>
      </c>
      <c r="G38">
        <v>1000</v>
      </c>
      <c r="H38" s="11" t="s">
        <v>531</v>
      </c>
      <c r="I38" s="11" t="s">
        <v>572</v>
      </c>
    </row>
    <row r="39" spans="1:9" x14ac:dyDescent="0.3">
      <c r="A39">
        <v>28</v>
      </c>
      <c r="B39" s="11" t="s">
        <v>482</v>
      </c>
      <c r="C39">
        <v>33</v>
      </c>
      <c r="D39" s="11" t="s">
        <v>573</v>
      </c>
      <c r="E39">
        <v>500</v>
      </c>
      <c r="F39" s="11" t="s">
        <v>573</v>
      </c>
      <c r="H39" s="11" t="s">
        <v>531</v>
      </c>
      <c r="I39" s="11" t="s">
        <v>535</v>
      </c>
    </row>
    <row r="40" spans="1:9" x14ac:dyDescent="0.3">
      <c r="A40">
        <v>29</v>
      </c>
      <c r="B40" s="11" t="s">
        <v>483</v>
      </c>
      <c r="C40">
        <v>34</v>
      </c>
      <c r="D40" s="11" t="s">
        <v>574</v>
      </c>
      <c r="E40">
        <v>295</v>
      </c>
      <c r="F40" s="11" t="s">
        <v>574</v>
      </c>
      <c r="G40">
        <v>5000</v>
      </c>
      <c r="H40" s="11" t="s">
        <v>531</v>
      </c>
      <c r="I40" s="11" t="s">
        <v>543</v>
      </c>
    </row>
    <row r="41" spans="1:9" x14ac:dyDescent="0.3">
      <c r="A41">
        <v>30</v>
      </c>
      <c r="B41" s="11" t="s">
        <v>484</v>
      </c>
      <c r="C41">
        <v>35</v>
      </c>
      <c r="D41" s="11" t="s">
        <v>575</v>
      </c>
      <c r="E41">
        <v>341</v>
      </c>
      <c r="F41" s="11" t="s">
        <v>575</v>
      </c>
      <c r="G41">
        <v>400</v>
      </c>
      <c r="H41" s="11" t="s">
        <v>9</v>
      </c>
      <c r="I41" s="11" t="s">
        <v>532</v>
      </c>
    </row>
    <row r="42" spans="1:9" x14ac:dyDescent="0.3">
      <c r="A42">
        <v>30</v>
      </c>
      <c r="B42" s="11" t="s">
        <v>484</v>
      </c>
      <c r="C42">
        <v>36</v>
      </c>
      <c r="D42" s="11" t="s">
        <v>576</v>
      </c>
      <c r="E42">
        <v>341</v>
      </c>
      <c r="F42" s="11" t="s">
        <v>576</v>
      </c>
      <c r="G42">
        <v>400</v>
      </c>
      <c r="H42" s="11" t="s">
        <v>9</v>
      </c>
      <c r="I42" s="11" t="s">
        <v>532</v>
      </c>
    </row>
    <row r="43" spans="1:9" x14ac:dyDescent="0.3">
      <c r="A43">
        <v>30</v>
      </c>
      <c r="B43" s="11" t="s">
        <v>484</v>
      </c>
      <c r="C43">
        <v>37</v>
      </c>
      <c r="D43" s="11" t="s">
        <v>577</v>
      </c>
      <c r="E43">
        <v>379</v>
      </c>
      <c r="F43" s="11" t="s">
        <v>577</v>
      </c>
      <c r="G43">
        <v>360</v>
      </c>
      <c r="H43" s="11" t="s">
        <v>9</v>
      </c>
      <c r="I43" s="11" t="s">
        <v>543</v>
      </c>
    </row>
    <row r="44" spans="1:9" x14ac:dyDescent="0.3">
      <c r="A44">
        <v>30</v>
      </c>
      <c r="B44" s="11" t="s">
        <v>484</v>
      </c>
      <c r="C44">
        <v>38</v>
      </c>
      <c r="D44" s="11" t="s">
        <v>578</v>
      </c>
      <c r="E44">
        <v>573</v>
      </c>
      <c r="F44" s="11" t="s">
        <v>578</v>
      </c>
      <c r="G44">
        <v>400</v>
      </c>
      <c r="H44" s="11" t="s">
        <v>9</v>
      </c>
      <c r="I44" s="11" t="s">
        <v>532</v>
      </c>
    </row>
    <row r="45" spans="1:9" x14ac:dyDescent="0.3">
      <c r="A45">
        <v>30</v>
      </c>
      <c r="B45" s="11" t="s">
        <v>484</v>
      </c>
      <c r="C45">
        <v>39</v>
      </c>
      <c r="D45" s="11" t="s">
        <v>579</v>
      </c>
      <c r="E45">
        <v>529</v>
      </c>
      <c r="F45" s="11" t="s">
        <v>579</v>
      </c>
      <c r="G45">
        <v>400</v>
      </c>
      <c r="H45" s="11" t="s">
        <v>9</v>
      </c>
      <c r="I45" s="11" t="s">
        <v>543</v>
      </c>
    </row>
    <row r="46" spans="1:9" x14ac:dyDescent="0.3">
      <c r="A46">
        <v>30</v>
      </c>
      <c r="B46" s="11" t="s">
        <v>484</v>
      </c>
      <c r="C46">
        <v>40</v>
      </c>
      <c r="D46" s="11" t="s">
        <v>580</v>
      </c>
      <c r="E46">
        <v>710</v>
      </c>
      <c r="F46" s="11" t="s">
        <v>580</v>
      </c>
      <c r="G46">
        <v>400</v>
      </c>
      <c r="H46" s="11" t="s">
        <v>9</v>
      </c>
      <c r="I46" s="11" t="s">
        <v>532</v>
      </c>
    </row>
    <row r="47" spans="1:9" x14ac:dyDescent="0.3">
      <c r="A47">
        <v>30</v>
      </c>
      <c r="B47" s="11" t="s">
        <v>484</v>
      </c>
      <c r="C47">
        <v>41</v>
      </c>
      <c r="D47" s="11" t="s">
        <v>581</v>
      </c>
      <c r="E47">
        <v>210</v>
      </c>
      <c r="F47" s="11" t="s">
        <v>581</v>
      </c>
      <c r="G47">
        <v>360</v>
      </c>
      <c r="H47" s="11" t="s">
        <v>531</v>
      </c>
      <c r="I47" s="11" t="s">
        <v>543</v>
      </c>
    </row>
    <row r="48" spans="1:9" x14ac:dyDescent="0.3">
      <c r="A48">
        <v>31</v>
      </c>
      <c r="B48" s="11" t="s">
        <v>485</v>
      </c>
      <c r="C48">
        <v>42</v>
      </c>
      <c r="D48" s="11" t="s">
        <v>582</v>
      </c>
      <c r="E48">
        <v>1349</v>
      </c>
      <c r="F48" s="11" t="s">
        <v>582</v>
      </c>
      <c r="G48">
        <v>200</v>
      </c>
      <c r="H48" s="11" t="s">
        <v>531</v>
      </c>
      <c r="I48" s="11" t="s">
        <v>532</v>
      </c>
    </row>
    <row r="49" spans="1:9" x14ac:dyDescent="0.3">
      <c r="A49">
        <v>32</v>
      </c>
      <c r="B49" s="11" t="s">
        <v>486</v>
      </c>
      <c r="C49">
        <v>43</v>
      </c>
      <c r="D49" s="11" t="s">
        <v>583</v>
      </c>
      <c r="E49">
        <v>264</v>
      </c>
      <c r="F49" s="11" t="s">
        <v>583</v>
      </c>
      <c r="G49">
        <v>330</v>
      </c>
      <c r="H49" s="11" t="s">
        <v>531</v>
      </c>
      <c r="I49" s="11" t="s">
        <v>543</v>
      </c>
    </row>
    <row r="50" spans="1:9" x14ac:dyDescent="0.3">
      <c r="A50">
        <v>32</v>
      </c>
      <c r="B50" s="11" t="s">
        <v>486</v>
      </c>
      <c r="C50">
        <v>44</v>
      </c>
      <c r="D50" s="11" t="s">
        <v>584</v>
      </c>
      <c r="E50">
        <v>1385</v>
      </c>
      <c r="F50" s="11" t="s">
        <v>584</v>
      </c>
      <c r="G50">
        <v>800</v>
      </c>
      <c r="H50" s="11" t="s">
        <v>9</v>
      </c>
      <c r="I50" s="11" t="s">
        <v>541</v>
      </c>
    </row>
    <row r="51" spans="1:9" x14ac:dyDescent="0.3">
      <c r="A51">
        <v>32</v>
      </c>
      <c r="B51" s="11" t="s">
        <v>486</v>
      </c>
      <c r="C51">
        <v>45</v>
      </c>
      <c r="D51" s="11" t="s">
        <v>585</v>
      </c>
      <c r="E51">
        <v>989</v>
      </c>
      <c r="F51" s="11" t="s">
        <v>585</v>
      </c>
      <c r="G51">
        <v>330</v>
      </c>
      <c r="H51" s="11" t="s">
        <v>9</v>
      </c>
      <c r="I51" s="11" t="s">
        <v>532</v>
      </c>
    </row>
    <row r="52" spans="1:9" x14ac:dyDescent="0.3">
      <c r="A52">
        <v>32</v>
      </c>
      <c r="B52" s="11" t="s">
        <v>486</v>
      </c>
      <c r="C52">
        <v>46</v>
      </c>
      <c r="D52" s="11" t="s">
        <v>586</v>
      </c>
      <c r="E52">
        <v>499</v>
      </c>
      <c r="F52" s="11" t="s">
        <v>586</v>
      </c>
      <c r="G52">
        <v>800</v>
      </c>
      <c r="H52" s="11" t="s">
        <v>531</v>
      </c>
      <c r="I52" s="11" t="s">
        <v>541</v>
      </c>
    </row>
    <row r="53" spans="1:9" x14ac:dyDescent="0.3">
      <c r="A53">
        <v>32</v>
      </c>
      <c r="B53" s="11" t="s">
        <v>486</v>
      </c>
      <c r="C53">
        <v>47</v>
      </c>
      <c r="D53" s="11" t="s">
        <v>587</v>
      </c>
      <c r="E53">
        <v>1385</v>
      </c>
      <c r="F53" s="11" t="s">
        <v>587</v>
      </c>
      <c r="G53">
        <v>800</v>
      </c>
      <c r="H53" s="11" t="s">
        <v>9</v>
      </c>
      <c r="I53" s="11" t="s">
        <v>541</v>
      </c>
    </row>
    <row r="54" spans="1:9" x14ac:dyDescent="0.3">
      <c r="A54">
        <v>32</v>
      </c>
      <c r="B54" s="11" t="s">
        <v>486</v>
      </c>
      <c r="C54">
        <v>48</v>
      </c>
      <c r="D54" s="11" t="s">
        <v>588</v>
      </c>
      <c r="E54">
        <v>349</v>
      </c>
      <c r="F54" s="11" t="s">
        <v>588</v>
      </c>
      <c r="G54">
        <v>250</v>
      </c>
      <c r="H54" s="11" t="s">
        <v>531</v>
      </c>
      <c r="I54" s="11" t="s">
        <v>543</v>
      </c>
    </row>
    <row r="55" spans="1:9" x14ac:dyDescent="0.3">
      <c r="A55">
        <v>32</v>
      </c>
      <c r="B55" s="11" t="s">
        <v>486</v>
      </c>
      <c r="C55">
        <v>49</v>
      </c>
      <c r="D55" s="11" t="s">
        <v>589</v>
      </c>
      <c r="E55">
        <v>989</v>
      </c>
      <c r="F55" s="11" t="s">
        <v>589</v>
      </c>
      <c r="G55">
        <v>330</v>
      </c>
      <c r="H55" s="11" t="s">
        <v>9</v>
      </c>
      <c r="I55" s="11" t="s">
        <v>532</v>
      </c>
    </row>
    <row r="56" spans="1:9" x14ac:dyDescent="0.3">
      <c r="A56">
        <v>33</v>
      </c>
      <c r="B56" s="11" t="s">
        <v>487</v>
      </c>
      <c r="C56">
        <v>50</v>
      </c>
      <c r="D56" s="11" t="s">
        <v>590</v>
      </c>
      <c r="E56">
        <v>195</v>
      </c>
      <c r="F56" s="11" t="s">
        <v>590</v>
      </c>
      <c r="G56">
        <v>600</v>
      </c>
      <c r="H56" s="11" t="s">
        <v>531</v>
      </c>
      <c r="I56" s="11" t="s">
        <v>541</v>
      </c>
    </row>
    <row r="57" spans="1:9" x14ac:dyDescent="0.3">
      <c r="A57">
        <v>33</v>
      </c>
      <c r="B57" s="11" t="s">
        <v>487</v>
      </c>
      <c r="C57">
        <v>51</v>
      </c>
      <c r="D57" s="11" t="s">
        <v>591</v>
      </c>
      <c r="E57">
        <v>116</v>
      </c>
      <c r="F57" s="11" t="s">
        <v>591</v>
      </c>
      <c r="G57">
        <v>600</v>
      </c>
      <c r="H57" s="11" t="s">
        <v>531</v>
      </c>
      <c r="I57" s="11" t="s">
        <v>543</v>
      </c>
    </row>
    <row r="58" spans="1:9" x14ac:dyDescent="0.3">
      <c r="A58">
        <v>33</v>
      </c>
      <c r="B58" s="11" t="s">
        <v>487</v>
      </c>
      <c r="C58">
        <v>52</v>
      </c>
      <c r="D58" s="11" t="s">
        <v>592</v>
      </c>
      <c r="E58">
        <v>159</v>
      </c>
      <c r="F58" s="11" t="s">
        <v>592</v>
      </c>
      <c r="G58">
        <v>600</v>
      </c>
      <c r="H58" s="11" t="s">
        <v>531</v>
      </c>
      <c r="I58" s="11" t="s">
        <v>535</v>
      </c>
    </row>
    <row r="59" spans="1:9" x14ac:dyDescent="0.3">
      <c r="A59">
        <v>34</v>
      </c>
      <c r="B59" s="11" t="s">
        <v>488</v>
      </c>
      <c r="C59">
        <v>53</v>
      </c>
      <c r="D59" s="11" t="s">
        <v>593</v>
      </c>
      <c r="E59">
        <v>374</v>
      </c>
      <c r="F59" s="11" t="s">
        <v>593</v>
      </c>
      <c r="G59">
        <v>400</v>
      </c>
      <c r="H59" s="11" t="s">
        <v>531</v>
      </c>
      <c r="I59" s="11" t="s">
        <v>543</v>
      </c>
    </row>
    <row r="60" spans="1:9" x14ac:dyDescent="0.3">
      <c r="A60">
        <v>35</v>
      </c>
      <c r="B60" s="11" t="s">
        <v>489</v>
      </c>
      <c r="C60">
        <v>54</v>
      </c>
      <c r="D60" s="11" t="s">
        <v>594</v>
      </c>
      <c r="E60">
        <v>430</v>
      </c>
      <c r="F60" s="11" t="s">
        <v>594</v>
      </c>
      <c r="H60" s="11" t="s">
        <v>531</v>
      </c>
      <c r="I60" s="11" t="s">
        <v>532</v>
      </c>
    </row>
    <row r="61" spans="1:9" x14ac:dyDescent="0.3">
      <c r="A61">
        <v>36</v>
      </c>
      <c r="B61" s="11" t="s">
        <v>490</v>
      </c>
      <c r="C61">
        <v>55</v>
      </c>
      <c r="D61" s="11" t="s">
        <v>595</v>
      </c>
      <c r="E61">
        <v>1014</v>
      </c>
      <c r="F61" s="11" t="s">
        <v>595</v>
      </c>
      <c r="G61">
        <v>400</v>
      </c>
      <c r="H61" s="11" t="s">
        <v>531</v>
      </c>
      <c r="I61" s="11" t="s">
        <v>543</v>
      </c>
    </row>
    <row r="62" spans="1:9" x14ac:dyDescent="0.3">
      <c r="A62">
        <v>37</v>
      </c>
      <c r="B62" s="11" t="s">
        <v>491</v>
      </c>
      <c r="C62">
        <v>56</v>
      </c>
      <c r="D62" s="11" t="s">
        <v>596</v>
      </c>
      <c r="E62">
        <v>370</v>
      </c>
      <c r="F62" s="11" t="s">
        <v>596</v>
      </c>
      <c r="G62">
        <v>500</v>
      </c>
      <c r="H62" s="11" t="s">
        <v>531</v>
      </c>
      <c r="I62" s="11" t="s">
        <v>532</v>
      </c>
    </row>
    <row r="63" spans="1:9" x14ac:dyDescent="0.3">
      <c r="A63">
        <v>38</v>
      </c>
      <c r="B63" s="11" t="s">
        <v>492</v>
      </c>
      <c r="C63">
        <v>57</v>
      </c>
      <c r="D63" s="11" t="s">
        <v>597</v>
      </c>
      <c r="E63">
        <v>2850</v>
      </c>
      <c r="F63" s="11" t="s">
        <v>597</v>
      </c>
      <c r="G63">
        <v>500</v>
      </c>
      <c r="H63" s="11" t="s">
        <v>9</v>
      </c>
      <c r="I63" s="11" t="s">
        <v>543</v>
      </c>
    </row>
    <row r="64" spans="1:9" x14ac:dyDescent="0.3">
      <c r="A64">
        <v>39</v>
      </c>
      <c r="B64" s="11" t="s">
        <v>493</v>
      </c>
      <c r="C64">
        <v>58</v>
      </c>
      <c r="D64" s="11" t="s">
        <v>598</v>
      </c>
      <c r="E64">
        <v>800</v>
      </c>
      <c r="F64" s="11" t="s">
        <v>598</v>
      </c>
      <c r="G64">
        <v>300</v>
      </c>
      <c r="H64" s="11" t="s">
        <v>531</v>
      </c>
      <c r="I64" s="11" t="s">
        <v>543</v>
      </c>
    </row>
    <row r="65" spans="1:9" x14ac:dyDescent="0.3">
      <c r="A65">
        <v>40</v>
      </c>
      <c r="B65" s="11" t="s">
        <v>494</v>
      </c>
      <c r="C65">
        <v>59</v>
      </c>
      <c r="D65" s="11" t="s">
        <v>599</v>
      </c>
      <c r="E65">
        <v>553</v>
      </c>
      <c r="F65" s="11" t="s">
        <v>599</v>
      </c>
      <c r="G65">
        <v>500</v>
      </c>
      <c r="H65" s="11" t="s">
        <v>531</v>
      </c>
      <c r="I65" s="11" t="s">
        <v>543</v>
      </c>
    </row>
    <row r="66" spans="1:9" x14ac:dyDescent="0.3">
      <c r="A66">
        <v>41</v>
      </c>
      <c r="B66" s="11" t="s">
        <v>495</v>
      </c>
      <c r="C66">
        <v>62</v>
      </c>
      <c r="D66" s="11" t="s">
        <v>600</v>
      </c>
      <c r="E66">
        <v>1936</v>
      </c>
      <c r="F66" s="11" t="s">
        <v>600</v>
      </c>
      <c r="H66" s="11" t="s">
        <v>9</v>
      </c>
      <c r="I66" s="11" t="s">
        <v>541</v>
      </c>
    </row>
    <row r="67" spans="1:9" x14ac:dyDescent="0.3">
      <c r="A67">
        <v>42</v>
      </c>
      <c r="B67" s="11" t="s">
        <v>496</v>
      </c>
      <c r="C67">
        <v>60</v>
      </c>
      <c r="D67" s="11" t="s">
        <v>601</v>
      </c>
      <c r="E67">
        <v>180</v>
      </c>
      <c r="F67" s="11" t="s">
        <v>601</v>
      </c>
      <c r="G67">
        <v>500</v>
      </c>
      <c r="H67" s="11" t="s">
        <v>531</v>
      </c>
      <c r="I67" s="11" t="s">
        <v>543</v>
      </c>
    </row>
    <row r="68" spans="1:9" x14ac:dyDescent="0.3">
      <c r="A68">
        <v>43</v>
      </c>
      <c r="B68" s="11" t="s">
        <v>497</v>
      </c>
      <c r="C68">
        <v>63</v>
      </c>
      <c r="D68" s="11" t="s">
        <v>602</v>
      </c>
      <c r="E68">
        <v>1130</v>
      </c>
      <c r="F68" s="11" t="s">
        <v>602</v>
      </c>
      <c r="G68">
        <v>200</v>
      </c>
      <c r="H68" s="11" t="s">
        <v>531</v>
      </c>
      <c r="I68" s="11" t="s">
        <v>572</v>
      </c>
    </row>
    <row r="69" spans="1:9" x14ac:dyDescent="0.3">
      <c r="A69">
        <v>44</v>
      </c>
      <c r="B69" s="11" t="s">
        <v>498</v>
      </c>
      <c r="C69">
        <v>64</v>
      </c>
      <c r="D69" s="11" t="s">
        <v>603</v>
      </c>
      <c r="E69">
        <v>499</v>
      </c>
      <c r="F69" s="11" t="s">
        <v>603</v>
      </c>
      <c r="H69" s="11" t="s">
        <v>531</v>
      </c>
      <c r="I69" s="11" t="s">
        <v>543</v>
      </c>
    </row>
    <row r="70" spans="1:9" x14ac:dyDescent="0.3">
      <c r="A70">
        <v>45</v>
      </c>
      <c r="B70" s="11" t="s">
        <v>499</v>
      </c>
      <c r="C70">
        <v>61</v>
      </c>
      <c r="D70" s="11" t="s">
        <v>604</v>
      </c>
      <c r="E70">
        <v>391</v>
      </c>
      <c r="F70" s="11" t="s">
        <v>604</v>
      </c>
      <c r="G70">
        <v>275</v>
      </c>
      <c r="H70" s="11" t="s">
        <v>531</v>
      </c>
      <c r="I70" s="11" t="s">
        <v>532</v>
      </c>
    </row>
    <row r="71" spans="1:9" x14ac:dyDescent="0.3">
      <c r="A71">
        <v>46</v>
      </c>
      <c r="B71" s="11" t="s">
        <v>500</v>
      </c>
      <c r="C71">
        <v>65</v>
      </c>
      <c r="D71" s="11" t="s">
        <v>605</v>
      </c>
      <c r="E71">
        <v>799</v>
      </c>
      <c r="F71" s="11" t="s">
        <v>605</v>
      </c>
      <c r="G71">
        <v>400</v>
      </c>
      <c r="H71" s="11" t="s">
        <v>9</v>
      </c>
      <c r="I71" s="11" t="s">
        <v>532</v>
      </c>
    </row>
    <row r="72" spans="1:9" x14ac:dyDescent="0.3">
      <c r="A72">
        <v>47</v>
      </c>
      <c r="B72" s="11" t="s">
        <v>501</v>
      </c>
      <c r="C72">
        <v>66</v>
      </c>
      <c r="D72" s="11" t="s">
        <v>606</v>
      </c>
      <c r="E72">
        <v>1400</v>
      </c>
      <c r="F72" s="11" t="s">
        <v>606</v>
      </c>
      <c r="G72">
        <v>300</v>
      </c>
      <c r="H72" s="11" t="s">
        <v>531</v>
      </c>
      <c r="I72" s="11" t="s">
        <v>543</v>
      </c>
    </row>
    <row r="73" spans="1:9" x14ac:dyDescent="0.3">
      <c r="A73">
        <v>48</v>
      </c>
      <c r="B73" s="11" t="s">
        <v>502</v>
      </c>
      <c r="C73">
        <v>67</v>
      </c>
      <c r="D73" s="11" t="s">
        <v>607</v>
      </c>
      <c r="E73">
        <v>700</v>
      </c>
      <c r="F73" s="11" t="s">
        <v>607</v>
      </c>
      <c r="G73">
        <v>500</v>
      </c>
      <c r="H73" s="11" t="s">
        <v>531</v>
      </c>
      <c r="I73" s="11" t="s">
        <v>543</v>
      </c>
    </row>
    <row r="74" spans="1:9" x14ac:dyDescent="0.3">
      <c r="A74">
        <v>49</v>
      </c>
      <c r="B74" s="11" t="s">
        <v>503</v>
      </c>
      <c r="C74">
        <v>68</v>
      </c>
      <c r="D74" s="11" t="s">
        <v>608</v>
      </c>
      <c r="E74">
        <v>342</v>
      </c>
      <c r="F74" s="11" t="s">
        <v>608</v>
      </c>
      <c r="H74" s="11" t="s">
        <v>531</v>
      </c>
      <c r="I74" s="11" t="s">
        <v>543</v>
      </c>
    </row>
    <row r="75" spans="1:9" x14ac:dyDescent="0.3">
      <c r="A75">
        <v>50</v>
      </c>
      <c r="B75" s="11" t="s">
        <v>504</v>
      </c>
      <c r="C75">
        <v>69</v>
      </c>
      <c r="D75" s="11" t="s">
        <v>609</v>
      </c>
      <c r="E75">
        <v>1895</v>
      </c>
      <c r="F75" s="11" t="s">
        <v>609</v>
      </c>
      <c r="G75">
        <v>500</v>
      </c>
      <c r="H75" s="11" t="s">
        <v>531</v>
      </c>
      <c r="I75" s="11" t="s">
        <v>543</v>
      </c>
    </row>
    <row r="76" spans="1:9" x14ac:dyDescent="0.3">
      <c r="A76">
        <v>51</v>
      </c>
      <c r="B76" s="11" t="s">
        <v>505</v>
      </c>
      <c r="C76">
        <v>70</v>
      </c>
      <c r="D76" s="11" t="s">
        <v>610</v>
      </c>
      <c r="E76">
        <v>248</v>
      </c>
      <c r="F76" s="11" t="s">
        <v>610</v>
      </c>
      <c r="G76">
        <v>400</v>
      </c>
      <c r="H76" s="11" t="s">
        <v>531</v>
      </c>
      <c r="I76" s="11" t="s">
        <v>543</v>
      </c>
    </row>
    <row r="77" spans="1:9" x14ac:dyDescent="0.3">
      <c r="A77">
        <v>52</v>
      </c>
      <c r="B77" s="11" t="s">
        <v>506</v>
      </c>
      <c r="C77">
        <v>71</v>
      </c>
      <c r="D77" s="11" t="s">
        <v>611</v>
      </c>
      <c r="E77">
        <v>293</v>
      </c>
      <c r="F77" s="11" t="s">
        <v>611</v>
      </c>
      <c r="G77">
        <v>500</v>
      </c>
      <c r="H77" s="11" t="s">
        <v>531</v>
      </c>
      <c r="I77" s="11" t="s">
        <v>543</v>
      </c>
    </row>
    <row r="78" spans="1:9" x14ac:dyDescent="0.3">
      <c r="A78">
        <v>53</v>
      </c>
      <c r="B78" s="11" t="s">
        <v>507</v>
      </c>
      <c r="C78">
        <v>72</v>
      </c>
      <c r="D78" s="11" t="s">
        <v>612</v>
      </c>
      <c r="E78">
        <v>560</v>
      </c>
      <c r="F78" s="11" t="s">
        <v>612</v>
      </c>
      <c r="G78">
        <v>350</v>
      </c>
      <c r="H78" s="11" t="s">
        <v>531</v>
      </c>
      <c r="I78" s="11" t="s">
        <v>532</v>
      </c>
    </row>
    <row r="79" spans="1:9" x14ac:dyDescent="0.3">
      <c r="A79">
        <v>54</v>
      </c>
      <c r="B79" s="11" t="s">
        <v>508</v>
      </c>
      <c r="C79">
        <v>73</v>
      </c>
      <c r="D79" s="11" t="s">
        <v>613</v>
      </c>
      <c r="E79">
        <v>150</v>
      </c>
      <c r="F79" s="11" t="s">
        <v>613</v>
      </c>
      <c r="H79" s="11" t="s">
        <v>531</v>
      </c>
      <c r="I79" s="11" t="s">
        <v>532</v>
      </c>
    </row>
    <row r="80" spans="1:9" x14ac:dyDescent="0.3">
      <c r="A80">
        <v>55</v>
      </c>
      <c r="B80" s="11" t="s">
        <v>509</v>
      </c>
      <c r="C80">
        <v>74</v>
      </c>
      <c r="D80" s="11" t="s">
        <v>614</v>
      </c>
      <c r="E80">
        <v>750</v>
      </c>
      <c r="F80" s="11" t="s">
        <v>614</v>
      </c>
      <c r="G80">
        <v>250</v>
      </c>
      <c r="H80" s="11" t="s">
        <v>531</v>
      </c>
      <c r="I80" s="11" t="s">
        <v>543</v>
      </c>
    </row>
    <row r="81" spans="1:9" x14ac:dyDescent="0.3">
      <c r="A81">
        <v>55</v>
      </c>
      <c r="B81" s="11" t="s">
        <v>509</v>
      </c>
      <c r="C81">
        <v>75</v>
      </c>
      <c r="D81" s="11" t="s">
        <v>615</v>
      </c>
      <c r="E81">
        <v>750</v>
      </c>
      <c r="F81" s="11" t="s">
        <v>615</v>
      </c>
      <c r="G81">
        <v>250</v>
      </c>
      <c r="H81" s="11" t="s">
        <v>531</v>
      </c>
      <c r="I81" s="11" t="s">
        <v>572</v>
      </c>
    </row>
    <row r="82" spans="1:9" x14ac:dyDescent="0.3">
      <c r="A82">
        <v>56</v>
      </c>
      <c r="B82" s="11" t="s">
        <v>510</v>
      </c>
      <c r="C82">
        <v>77</v>
      </c>
      <c r="D82" s="11" t="s">
        <v>616</v>
      </c>
      <c r="E82">
        <v>179</v>
      </c>
      <c r="F82" s="11" t="s">
        <v>616</v>
      </c>
      <c r="G82">
        <v>400</v>
      </c>
      <c r="H82" s="11" t="s">
        <v>531</v>
      </c>
      <c r="I82" s="11" t="s">
        <v>535</v>
      </c>
    </row>
    <row r="83" spans="1:9" x14ac:dyDescent="0.3">
      <c r="A83">
        <v>57</v>
      </c>
      <c r="B83" s="11" t="s">
        <v>511</v>
      </c>
      <c r="C83">
        <v>78</v>
      </c>
      <c r="D83" s="11" t="s">
        <v>617</v>
      </c>
      <c r="E83">
        <v>1690</v>
      </c>
      <c r="F83" s="11" t="s">
        <v>617</v>
      </c>
      <c r="G83">
        <v>200</v>
      </c>
      <c r="H83" s="11" t="s">
        <v>531</v>
      </c>
      <c r="I83" s="11" t="s">
        <v>543</v>
      </c>
    </row>
    <row r="84" spans="1:9" x14ac:dyDescent="0.3">
      <c r="A84">
        <v>58</v>
      </c>
      <c r="B84" s="11" t="s">
        <v>512</v>
      </c>
      <c r="C84">
        <v>79</v>
      </c>
      <c r="D84" s="11" t="s">
        <v>618</v>
      </c>
      <c r="E84">
        <v>142</v>
      </c>
      <c r="F84" s="11" t="s">
        <v>618</v>
      </c>
      <c r="G84">
        <v>400</v>
      </c>
      <c r="H84" s="11" t="s">
        <v>531</v>
      </c>
      <c r="I84" s="11" t="s">
        <v>543</v>
      </c>
    </row>
    <row r="85" spans="1:9" x14ac:dyDescent="0.3">
      <c r="A85">
        <v>59</v>
      </c>
      <c r="B85" s="11" t="s">
        <v>513</v>
      </c>
      <c r="C85">
        <v>76</v>
      </c>
      <c r="D85" s="11" t="s">
        <v>619</v>
      </c>
      <c r="E85">
        <v>750</v>
      </c>
      <c r="F85" s="11" t="s">
        <v>619</v>
      </c>
      <c r="G85">
        <v>500</v>
      </c>
      <c r="H85" s="11" t="s">
        <v>531</v>
      </c>
      <c r="I85" s="11" t="s">
        <v>543</v>
      </c>
    </row>
    <row r="86" spans="1:9" x14ac:dyDescent="0.3">
      <c r="A86">
        <v>60</v>
      </c>
      <c r="B86" s="11" t="s">
        <v>514</v>
      </c>
      <c r="C86">
        <v>80</v>
      </c>
      <c r="D86" s="11" t="s">
        <v>620</v>
      </c>
      <c r="E86">
        <v>700</v>
      </c>
      <c r="F86" s="11" t="s">
        <v>620</v>
      </c>
      <c r="G86">
        <v>500</v>
      </c>
      <c r="H86" s="11" t="s">
        <v>531</v>
      </c>
      <c r="I86" s="11" t="s">
        <v>543</v>
      </c>
    </row>
    <row r="87" spans="1:9" x14ac:dyDescent="0.3">
      <c r="A87">
        <v>61</v>
      </c>
      <c r="B87" s="11" t="s">
        <v>515</v>
      </c>
      <c r="C87">
        <v>81</v>
      </c>
      <c r="D87" s="11" t="s">
        <v>621</v>
      </c>
      <c r="E87">
        <v>699</v>
      </c>
      <c r="F87" s="11" t="s">
        <v>621</v>
      </c>
      <c r="G87">
        <v>300</v>
      </c>
      <c r="H87" s="11" t="s">
        <v>531</v>
      </c>
      <c r="I87" s="11" t="s">
        <v>543</v>
      </c>
    </row>
    <row r="88" spans="1:9" x14ac:dyDescent="0.3">
      <c r="A88">
        <v>61</v>
      </c>
      <c r="B88" s="11" t="s">
        <v>515</v>
      </c>
      <c r="C88">
        <v>82</v>
      </c>
      <c r="D88" s="11" t="s">
        <v>622</v>
      </c>
      <c r="E88">
        <v>699</v>
      </c>
      <c r="F88" s="11" t="s">
        <v>622</v>
      </c>
      <c r="G88">
        <v>300</v>
      </c>
      <c r="H88" s="11" t="s">
        <v>531</v>
      </c>
      <c r="I88" s="11" t="s">
        <v>543</v>
      </c>
    </row>
    <row r="89" spans="1:9" x14ac:dyDescent="0.3">
      <c r="A89">
        <v>62</v>
      </c>
      <c r="B89" s="11" t="s">
        <v>516</v>
      </c>
      <c r="C89">
        <v>83</v>
      </c>
      <c r="D89" s="11" t="s">
        <v>623</v>
      </c>
      <c r="E89">
        <v>750</v>
      </c>
      <c r="F89" s="11" t="s">
        <v>623</v>
      </c>
      <c r="H89" s="11" t="s">
        <v>531</v>
      </c>
      <c r="I89" s="11" t="s">
        <v>541</v>
      </c>
    </row>
    <row r="90" spans="1:9" x14ac:dyDescent="0.3">
      <c r="A90">
        <v>63</v>
      </c>
      <c r="B90" s="11" t="s">
        <v>517</v>
      </c>
      <c r="C90">
        <v>84</v>
      </c>
      <c r="D90" s="11" t="s">
        <v>624</v>
      </c>
      <c r="E90">
        <v>900</v>
      </c>
      <c r="F90" s="11" t="s">
        <v>624</v>
      </c>
      <c r="H90" s="11" t="s">
        <v>531</v>
      </c>
      <c r="I90" s="11" t="s">
        <v>543</v>
      </c>
    </row>
    <row r="91" spans="1:9" x14ac:dyDescent="0.3">
      <c r="A91">
        <v>64</v>
      </c>
      <c r="B91" s="11" t="s">
        <v>518</v>
      </c>
      <c r="C91">
        <v>85</v>
      </c>
      <c r="D91" s="11" t="s">
        <v>625</v>
      </c>
      <c r="E91">
        <v>287</v>
      </c>
      <c r="F91" s="11" t="s">
        <v>625</v>
      </c>
      <c r="G91">
        <v>500</v>
      </c>
      <c r="H91" s="11" t="s">
        <v>9</v>
      </c>
      <c r="I91" s="11" t="s">
        <v>543</v>
      </c>
    </row>
    <row r="92" spans="1:9" x14ac:dyDescent="0.3">
      <c r="A92">
        <v>64</v>
      </c>
      <c r="B92" s="11" t="s">
        <v>518</v>
      </c>
      <c r="C92">
        <v>86</v>
      </c>
      <c r="D92" s="11" t="s">
        <v>626</v>
      </c>
      <c r="E92">
        <v>525</v>
      </c>
      <c r="F92" s="11" t="s">
        <v>626</v>
      </c>
      <c r="G92">
        <v>500</v>
      </c>
      <c r="H92" s="11" t="s">
        <v>9</v>
      </c>
      <c r="I92" s="11" t="s">
        <v>535</v>
      </c>
    </row>
    <row r="93" spans="1:9" x14ac:dyDescent="0.3">
      <c r="A93">
        <v>64</v>
      </c>
      <c r="B93" s="11" t="s">
        <v>518</v>
      </c>
      <c r="C93">
        <v>87</v>
      </c>
      <c r="D93" s="11" t="s">
        <v>627</v>
      </c>
      <c r="E93">
        <v>175</v>
      </c>
      <c r="F93" s="11" t="s">
        <v>627</v>
      </c>
      <c r="G93">
        <v>500</v>
      </c>
      <c r="H93" s="11" t="s">
        <v>531</v>
      </c>
      <c r="I93" s="11" t="s">
        <v>543</v>
      </c>
    </row>
    <row r="94" spans="1:9" x14ac:dyDescent="0.3">
      <c r="A94">
        <v>65</v>
      </c>
      <c r="B94" s="11" t="s">
        <v>519</v>
      </c>
      <c r="C94">
        <v>88</v>
      </c>
      <c r="D94" s="11" t="s">
        <v>628</v>
      </c>
      <c r="E94">
        <v>295</v>
      </c>
      <c r="F94" s="11" t="s">
        <v>628</v>
      </c>
      <c r="G94">
        <v>400</v>
      </c>
      <c r="H94" s="11" t="s">
        <v>531</v>
      </c>
      <c r="I94" s="11" t="s">
        <v>535</v>
      </c>
    </row>
    <row r="95" spans="1:9" x14ac:dyDescent="0.3">
      <c r="A95">
        <v>65</v>
      </c>
      <c r="B95" s="11" t="s">
        <v>519</v>
      </c>
      <c r="C95">
        <v>89</v>
      </c>
      <c r="D95" s="11" t="s">
        <v>629</v>
      </c>
      <c r="E95">
        <v>295</v>
      </c>
      <c r="F95" s="11" t="s">
        <v>629</v>
      </c>
      <c r="G95">
        <v>400</v>
      </c>
      <c r="H95" s="11" t="s">
        <v>531</v>
      </c>
      <c r="I95" s="11" t="s">
        <v>535</v>
      </c>
    </row>
    <row r="96" spans="1:9" x14ac:dyDescent="0.3">
      <c r="A96">
        <v>66</v>
      </c>
      <c r="B96" s="11" t="s">
        <v>520</v>
      </c>
      <c r="C96">
        <v>90</v>
      </c>
      <c r="D96" s="11" t="s">
        <v>630</v>
      </c>
      <c r="E96">
        <v>2490</v>
      </c>
      <c r="F96" s="11" t="s">
        <v>630</v>
      </c>
      <c r="G96">
        <v>207</v>
      </c>
      <c r="H96" s="11" t="s">
        <v>531</v>
      </c>
      <c r="I96" s="11" t="s">
        <v>541</v>
      </c>
    </row>
    <row r="97" spans="1:9" x14ac:dyDescent="0.3">
      <c r="A97">
        <v>67</v>
      </c>
      <c r="B97" s="11" t="s">
        <v>521</v>
      </c>
      <c r="C97">
        <v>91</v>
      </c>
      <c r="D97" s="11" t="s">
        <v>631</v>
      </c>
      <c r="E97">
        <v>689</v>
      </c>
      <c r="F97" s="11" t="s">
        <v>631</v>
      </c>
      <c r="H97" s="11" t="s">
        <v>531</v>
      </c>
      <c r="I97" s="11" t="s">
        <v>532</v>
      </c>
    </row>
    <row r="98" spans="1:9" x14ac:dyDescent="0.3">
      <c r="A98">
        <v>68</v>
      </c>
      <c r="B98" s="11" t="s">
        <v>522</v>
      </c>
      <c r="C98">
        <v>92</v>
      </c>
      <c r="D98" s="11" t="s">
        <v>632</v>
      </c>
      <c r="E98">
        <v>522</v>
      </c>
      <c r="F98" s="11" t="s">
        <v>632</v>
      </c>
      <c r="G98">
        <v>250</v>
      </c>
      <c r="H98" s="11" t="s">
        <v>531</v>
      </c>
      <c r="I98" s="11" t="s">
        <v>541</v>
      </c>
    </row>
    <row r="99" spans="1:9" x14ac:dyDescent="0.3">
      <c r="A99">
        <v>69</v>
      </c>
      <c r="B99" s="11" t="s">
        <v>523</v>
      </c>
      <c r="C99">
        <v>93</v>
      </c>
      <c r="D99" s="11" t="s">
        <v>633</v>
      </c>
      <c r="E99">
        <v>279</v>
      </c>
      <c r="F99" s="11" t="s">
        <v>633</v>
      </c>
      <c r="G99">
        <v>300</v>
      </c>
      <c r="H99" s="11" t="s">
        <v>531</v>
      </c>
      <c r="I99" s="11" t="s">
        <v>535</v>
      </c>
    </row>
    <row r="100" spans="1:9" x14ac:dyDescent="0.3">
      <c r="A100">
        <v>70</v>
      </c>
      <c r="B100" s="11" t="s">
        <v>524</v>
      </c>
      <c r="C100">
        <v>94</v>
      </c>
      <c r="D100" s="11" t="s">
        <v>634</v>
      </c>
      <c r="E100">
        <v>950</v>
      </c>
      <c r="F100" s="11" t="s">
        <v>634</v>
      </c>
      <c r="G100">
        <v>500</v>
      </c>
      <c r="H100" s="11" t="s">
        <v>531</v>
      </c>
      <c r="I100" s="11" t="s">
        <v>543</v>
      </c>
    </row>
    <row r="101" spans="1:9" x14ac:dyDescent="0.3">
      <c r="A101">
        <v>71</v>
      </c>
      <c r="B101" s="11" t="s">
        <v>525</v>
      </c>
      <c r="C101">
        <v>95</v>
      </c>
      <c r="D101" s="11" t="s">
        <v>635</v>
      </c>
      <c r="E101">
        <v>399</v>
      </c>
      <c r="F101" s="11" t="s">
        <v>635</v>
      </c>
      <c r="G101">
        <v>300</v>
      </c>
      <c r="H101" s="11" t="s">
        <v>531</v>
      </c>
      <c r="I101" s="11" t="s">
        <v>535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B7B84-619F-49E3-A0BB-B1787E2077D6}">
  <dimension ref="A1:B72"/>
  <sheetViews>
    <sheetView workbookViewId="0">
      <selection sqref="A1:B72"/>
    </sheetView>
  </sheetViews>
  <sheetFormatPr defaultRowHeight="14.4" x14ac:dyDescent="0.3"/>
  <cols>
    <col min="1" max="1" width="19" bestFit="1" customWidth="1"/>
    <col min="2" max="2" width="12.21875" bestFit="1" customWidth="1"/>
  </cols>
  <sheetData>
    <row r="1" spans="1:2" x14ac:dyDescent="0.3">
      <c r="A1" t="s">
        <v>1</v>
      </c>
      <c r="B1" t="s">
        <v>454</v>
      </c>
    </row>
    <row r="2" spans="1:2" x14ac:dyDescent="0.3">
      <c r="A2" s="11" t="s">
        <v>455</v>
      </c>
      <c r="B2">
        <v>1</v>
      </c>
    </row>
    <row r="3" spans="1:2" x14ac:dyDescent="0.3">
      <c r="A3" s="11" t="s">
        <v>456</v>
      </c>
      <c r="B3">
        <v>2</v>
      </c>
    </row>
    <row r="4" spans="1:2" x14ac:dyDescent="0.3">
      <c r="A4" s="11" t="s">
        <v>457</v>
      </c>
      <c r="B4">
        <v>3</v>
      </c>
    </row>
    <row r="5" spans="1:2" x14ac:dyDescent="0.3">
      <c r="A5" s="11" t="s">
        <v>458</v>
      </c>
      <c r="B5">
        <v>4</v>
      </c>
    </row>
    <row r="6" spans="1:2" x14ac:dyDescent="0.3">
      <c r="A6" s="11" t="s">
        <v>459</v>
      </c>
      <c r="B6">
        <v>5</v>
      </c>
    </row>
    <row r="7" spans="1:2" x14ac:dyDescent="0.3">
      <c r="A7" s="11" t="s">
        <v>460</v>
      </c>
      <c r="B7">
        <v>6</v>
      </c>
    </row>
    <row r="8" spans="1:2" x14ac:dyDescent="0.3">
      <c r="A8" s="11" t="s">
        <v>461</v>
      </c>
      <c r="B8">
        <v>7</v>
      </c>
    </row>
    <row r="9" spans="1:2" x14ac:dyDescent="0.3">
      <c r="A9" s="11" t="s">
        <v>462</v>
      </c>
      <c r="B9">
        <v>8</v>
      </c>
    </row>
    <row r="10" spans="1:2" x14ac:dyDescent="0.3">
      <c r="A10" s="11" t="s">
        <v>463</v>
      </c>
      <c r="B10">
        <v>9</v>
      </c>
    </row>
    <row r="11" spans="1:2" x14ac:dyDescent="0.3">
      <c r="A11" s="11" t="s">
        <v>464</v>
      </c>
      <c r="B11">
        <v>10</v>
      </c>
    </row>
    <row r="12" spans="1:2" x14ac:dyDescent="0.3">
      <c r="A12" s="11" t="s">
        <v>465</v>
      </c>
      <c r="B12">
        <v>11</v>
      </c>
    </row>
    <row r="13" spans="1:2" x14ac:dyDescent="0.3">
      <c r="A13" s="11" t="s">
        <v>466</v>
      </c>
      <c r="B13">
        <v>12</v>
      </c>
    </row>
    <row r="14" spans="1:2" x14ac:dyDescent="0.3">
      <c r="A14" s="11" t="s">
        <v>467</v>
      </c>
      <c r="B14">
        <v>13</v>
      </c>
    </row>
    <row r="15" spans="1:2" x14ac:dyDescent="0.3">
      <c r="A15" s="11" t="s">
        <v>468</v>
      </c>
      <c r="B15">
        <v>14</v>
      </c>
    </row>
    <row r="16" spans="1:2" x14ac:dyDescent="0.3">
      <c r="A16" s="11" t="s">
        <v>469</v>
      </c>
      <c r="B16">
        <v>15</v>
      </c>
    </row>
    <row r="17" spans="1:2" x14ac:dyDescent="0.3">
      <c r="A17" s="11" t="s">
        <v>470</v>
      </c>
      <c r="B17">
        <v>16</v>
      </c>
    </row>
    <row r="18" spans="1:2" x14ac:dyDescent="0.3">
      <c r="A18" s="11" t="s">
        <v>471</v>
      </c>
      <c r="B18">
        <v>17</v>
      </c>
    </row>
    <row r="19" spans="1:2" x14ac:dyDescent="0.3">
      <c r="A19" s="11" t="s">
        <v>472</v>
      </c>
      <c r="B19">
        <v>18</v>
      </c>
    </row>
    <row r="20" spans="1:2" x14ac:dyDescent="0.3">
      <c r="A20" s="11" t="s">
        <v>473</v>
      </c>
      <c r="B20">
        <v>19</v>
      </c>
    </row>
    <row r="21" spans="1:2" x14ac:dyDescent="0.3">
      <c r="A21" s="11" t="s">
        <v>474</v>
      </c>
      <c r="B21">
        <v>20</v>
      </c>
    </row>
    <row r="22" spans="1:2" x14ac:dyDescent="0.3">
      <c r="A22" s="11" t="s">
        <v>475</v>
      </c>
      <c r="B22">
        <v>21</v>
      </c>
    </row>
    <row r="23" spans="1:2" x14ac:dyDescent="0.3">
      <c r="A23" s="11" t="s">
        <v>476</v>
      </c>
      <c r="B23">
        <v>22</v>
      </c>
    </row>
    <row r="24" spans="1:2" x14ac:dyDescent="0.3">
      <c r="A24" s="11" t="s">
        <v>477</v>
      </c>
      <c r="B24">
        <v>23</v>
      </c>
    </row>
    <row r="25" spans="1:2" x14ac:dyDescent="0.3">
      <c r="A25" s="11" t="s">
        <v>478</v>
      </c>
      <c r="B25">
        <v>24</v>
      </c>
    </row>
    <row r="26" spans="1:2" x14ac:dyDescent="0.3">
      <c r="A26" s="11" t="s">
        <v>479</v>
      </c>
      <c r="B26">
        <v>25</v>
      </c>
    </row>
    <row r="27" spans="1:2" x14ac:dyDescent="0.3">
      <c r="A27" s="11" t="s">
        <v>480</v>
      </c>
      <c r="B27">
        <v>26</v>
      </c>
    </row>
    <row r="28" spans="1:2" x14ac:dyDescent="0.3">
      <c r="A28" s="11" t="s">
        <v>481</v>
      </c>
      <c r="B28">
        <v>27</v>
      </c>
    </row>
    <row r="29" spans="1:2" x14ac:dyDescent="0.3">
      <c r="A29" s="11" t="s">
        <v>482</v>
      </c>
      <c r="B29">
        <v>28</v>
      </c>
    </row>
    <row r="30" spans="1:2" x14ac:dyDescent="0.3">
      <c r="A30" s="11" t="s">
        <v>483</v>
      </c>
      <c r="B30">
        <v>29</v>
      </c>
    </row>
    <row r="31" spans="1:2" x14ac:dyDescent="0.3">
      <c r="A31" s="11" t="s">
        <v>484</v>
      </c>
      <c r="B31">
        <v>30</v>
      </c>
    </row>
    <row r="32" spans="1:2" x14ac:dyDescent="0.3">
      <c r="A32" s="11" t="s">
        <v>485</v>
      </c>
      <c r="B32">
        <v>31</v>
      </c>
    </row>
    <row r="33" spans="1:2" x14ac:dyDescent="0.3">
      <c r="A33" s="11" t="s">
        <v>486</v>
      </c>
      <c r="B33">
        <v>32</v>
      </c>
    </row>
    <row r="34" spans="1:2" x14ac:dyDescent="0.3">
      <c r="A34" s="11" t="s">
        <v>487</v>
      </c>
      <c r="B34">
        <v>33</v>
      </c>
    </row>
    <row r="35" spans="1:2" x14ac:dyDescent="0.3">
      <c r="A35" s="11" t="s">
        <v>488</v>
      </c>
      <c r="B35">
        <v>34</v>
      </c>
    </row>
    <row r="36" spans="1:2" x14ac:dyDescent="0.3">
      <c r="A36" s="11" t="s">
        <v>489</v>
      </c>
      <c r="B36">
        <v>35</v>
      </c>
    </row>
    <row r="37" spans="1:2" x14ac:dyDescent="0.3">
      <c r="A37" s="11" t="s">
        <v>490</v>
      </c>
      <c r="B37">
        <v>36</v>
      </c>
    </row>
    <row r="38" spans="1:2" x14ac:dyDescent="0.3">
      <c r="A38" s="11" t="s">
        <v>491</v>
      </c>
      <c r="B38">
        <v>37</v>
      </c>
    </row>
    <row r="39" spans="1:2" x14ac:dyDescent="0.3">
      <c r="A39" s="11" t="s">
        <v>492</v>
      </c>
      <c r="B39">
        <v>38</v>
      </c>
    </row>
    <row r="40" spans="1:2" x14ac:dyDescent="0.3">
      <c r="A40" s="11" t="s">
        <v>493</v>
      </c>
      <c r="B40">
        <v>39</v>
      </c>
    </row>
    <row r="41" spans="1:2" x14ac:dyDescent="0.3">
      <c r="A41" s="11" t="s">
        <v>494</v>
      </c>
      <c r="B41">
        <v>40</v>
      </c>
    </row>
    <row r="42" spans="1:2" x14ac:dyDescent="0.3">
      <c r="A42" s="11" t="s">
        <v>495</v>
      </c>
      <c r="B42">
        <v>41</v>
      </c>
    </row>
    <row r="43" spans="1:2" x14ac:dyDescent="0.3">
      <c r="A43" s="11" t="s">
        <v>496</v>
      </c>
      <c r="B43">
        <v>42</v>
      </c>
    </row>
    <row r="44" spans="1:2" x14ac:dyDescent="0.3">
      <c r="A44" s="11" t="s">
        <v>497</v>
      </c>
      <c r="B44">
        <v>43</v>
      </c>
    </row>
    <row r="45" spans="1:2" x14ac:dyDescent="0.3">
      <c r="A45" s="11" t="s">
        <v>498</v>
      </c>
      <c r="B45">
        <v>44</v>
      </c>
    </row>
    <row r="46" spans="1:2" x14ac:dyDescent="0.3">
      <c r="A46" s="11" t="s">
        <v>499</v>
      </c>
      <c r="B46">
        <v>45</v>
      </c>
    </row>
    <row r="47" spans="1:2" x14ac:dyDescent="0.3">
      <c r="A47" s="11" t="s">
        <v>500</v>
      </c>
      <c r="B47">
        <v>46</v>
      </c>
    </row>
    <row r="48" spans="1:2" x14ac:dyDescent="0.3">
      <c r="A48" s="11" t="s">
        <v>501</v>
      </c>
      <c r="B48">
        <v>47</v>
      </c>
    </row>
    <row r="49" spans="1:2" x14ac:dyDescent="0.3">
      <c r="A49" s="11" t="s">
        <v>502</v>
      </c>
      <c r="B49">
        <v>48</v>
      </c>
    </row>
    <row r="50" spans="1:2" x14ac:dyDescent="0.3">
      <c r="A50" s="11" t="s">
        <v>503</v>
      </c>
      <c r="B50">
        <v>49</v>
      </c>
    </row>
    <row r="51" spans="1:2" x14ac:dyDescent="0.3">
      <c r="A51" s="11" t="s">
        <v>504</v>
      </c>
      <c r="B51">
        <v>50</v>
      </c>
    </row>
    <row r="52" spans="1:2" x14ac:dyDescent="0.3">
      <c r="A52" s="11" t="s">
        <v>505</v>
      </c>
      <c r="B52">
        <v>51</v>
      </c>
    </row>
    <row r="53" spans="1:2" x14ac:dyDescent="0.3">
      <c r="A53" s="11" t="s">
        <v>506</v>
      </c>
      <c r="B53">
        <v>52</v>
      </c>
    </row>
    <row r="54" spans="1:2" x14ac:dyDescent="0.3">
      <c r="A54" s="11" t="s">
        <v>507</v>
      </c>
      <c r="B54">
        <v>53</v>
      </c>
    </row>
    <row r="55" spans="1:2" x14ac:dyDescent="0.3">
      <c r="A55" s="11" t="s">
        <v>508</v>
      </c>
      <c r="B55">
        <v>54</v>
      </c>
    </row>
    <row r="56" spans="1:2" x14ac:dyDescent="0.3">
      <c r="A56" s="11" t="s">
        <v>509</v>
      </c>
      <c r="B56">
        <v>55</v>
      </c>
    </row>
    <row r="57" spans="1:2" x14ac:dyDescent="0.3">
      <c r="A57" s="11" t="s">
        <v>510</v>
      </c>
      <c r="B57">
        <v>56</v>
      </c>
    </row>
    <row r="58" spans="1:2" x14ac:dyDescent="0.3">
      <c r="A58" s="11" t="s">
        <v>511</v>
      </c>
      <c r="B58">
        <v>57</v>
      </c>
    </row>
    <row r="59" spans="1:2" x14ac:dyDescent="0.3">
      <c r="A59" s="11" t="s">
        <v>512</v>
      </c>
      <c r="B59">
        <v>58</v>
      </c>
    </row>
    <row r="60" spans="1:2" x14ac:dyDescent="0.3">
      <c r="A60" s="11" t="s">
        <v>513</v>
      </c>
      <c r="B60">
        <v>59</v>
      </c>
    </row>
    <row r="61" spans="1:2" x14ac:dyDescent="0.3">
      <c r="A61" s="11" t="s">
        <v>514</v>
      </c>
      <c r="B61">
        <v>60</v>
      </c>
    </row>
    <row r="62" spans="1:2" x14ac:dyDescent="0.3">
      <c r="A62" s="11" t="s">
        <v>515</v>
      </c>
      <c r="B62">
        <v>61</v>
      </c>
    </row>
    <row r="63" spans="1:2" x14ac:dyDescent="0.3">
      <c r="A63" s="11" t="s">
        <v>516</v>
      </c>
      <c r="B63">
        <v>62</v>
      </c>
    </row>
    <row r="64" spans="1:2" x14ac:dyDescent="0.3">
      <c r="A64" s="11" t="s">
        <v>517</v>
      </c>
      <c r="B64">
        <v>63</v>
      </c>
    </row>
    <row r="65" spans="1:2" x14ac:dyDescent="0.3">
      <c r="A65" s="11" t="s">
        <v>518</v>
      </c>
      <c r="B65">
        <v>64</v>
      </c>
    </row>
    <row r="66" spans="1:2" x14ac:dyDescent="0.3">
      <c r="A66" s="11" t="s">
        <v>519</v>
      </c>
      <c r="B66">
        <v>65</v>
      </c>
    </row>
    <row r="67" spans="1:2" x14ac:dyDescent="0.3">
      <c r="A67" s="11" t="s">
        <v>520</v>
      </c>
      <c r="B67">
        <v>66</v>
      </c>
    </row>
    <row r="68" spans="1:2" x14ac:dyDescent="0.3">
      <c r="A68" s="11" t="s">
        <v>521</v>
      </c>
      <c r="B68">
        <v>67</v>
      </c>
    </row>
    <row r="69" spans="1:2" x14ac:dyDescent="0.3">
      <c r="A69" s="11" t="s">
        <v>522</v>
      </c>
      <c r="B69">
        <v>68</v>
      </c>
    </row>
    <row r="70" spans="1:2" x14ac:dyDescent="0.3">
      <c r="A70" s="11" t="s">
        <v>523</v>
      </c>
      <c r="B70">
        <v>69</v>
      </c>
    </row>
    <row r="71" spans="1:2" x14ac:dyDescent="0.3">
      <c r="A71" s="11" t="s">
        <v>524</v>
      </c>
      <c r="B71">
        <v>70</v>
      </c>
    </row>
    <row r="72" spans="1:2" x14ac:dyDescent="0.3">
      <c r="A72" s="11" t="s">
        <v>525</v>
      </c>
      <c r="B72">
        <v>71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8249-1354-48C6-AF6B-5E72F6D5B041}">
  <dimension ref="A1:J113"/>
  <sheetViews>
    <sheetView topLeftCell="A13" workbookViewId="0">
      <selection activeCell="I25" sqref="I25"/>
    </sheetView>
  </sheetViews>
  <sheetFormatPr defaultRowHeight="14.4" x14ac:dyDescent="0.3"/>
  <cols>
    <col min="1" max="1" width="10.77734375" bestFit="1" customWidth="1"/>
    <col min="2" max="2" width="26.88671875" bestFit="1" customWidth="1"/>
    <col min="3" max="3" width="80.88671875" bestFit="1" customWidth="1"/>
    <col min="4" max="4" width="22.109375" bestFit="1" customWidth="1"/>
    <col min="5" max="5" width="13.109375" bestFit="1" customWidth="1"/>
    <col min="6" max="6" width="11.109375" bestFit="1" customWidth="1"/>
    <col min="7" max="7" width="7" bestFit="1" customWidth="1"/>
    <col min="8" max="8" width="8.109375" bestFit="1" customWidth="1"/>
    <col min="9" max="9" width="15.5546875" bestFit="1" customWidth="1"/>
    <col min="10" max="10" width="17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81</v>
      </c>
      <c r="B2" t="s">
        <v>82</v>
      </c>
      <c r="C2" t="s">
        <v>83</v>
      </c>
      <c r="D2">
        <v>347.65</v>
      </c>
      <c r="H2" t="s">
        <v>60</v>
      </c>
      <c r="I2">
        <v>75277</v>
      </c>
      <c r="J2" t="s">
        <v>84</v>
      </c>
    </row>
    <row r="3" spans="1:10" x14ac:dyDescent="0.3">
      <c r="A3" t="s">
        <v>128</v>
      </c>
      <c r="B3" t="s">
        <v>129</v>
      </c>
      <c r="C3" t="s">
        <v>130</v>
      </c>
      <c r="D3">
        <v>467</v>
      </c>
      <c r="H3" t="s">
        <v>131</v>
      </c>
      <c r="I3">
        <v>8325</v>
      </c>
      <c r="J3" t="s">
        <v>132</v>
      </c>
    </row>
    <row r="4" spans="1:10" x14ac:dyDescent="0.3">
      <c r="A4" t="s">
        <v>191</v>
      </c>
      <c r="B4" t="s">
        <v>192</v>
      </c>
      <c r="C4" t="s">
        <v>193</v>
      </c>
      <c r="D4">
        <v>582</v>
      </c>
      <c r="H4" t="s">
        <v>35</v>
      </c>
      <c r="I4">
        <v>5420</v>
      </c>
      <c r="J4" t="s">
        <v>17</v>
      </c>
    </row>
    <row r="5" spans="1:10" x14ac:dyDescent="0.3">
      <c r="A5" t="s">
        <v>131</v>
      </c>
      <c r="B5" t="s">
        <v>194</v>
      </c>
      <c r="C5" t="s">
        <v>195</v>
      </c>
      <c r="D5">
        <v>419</v>
      </c>
      <c r="H5" t="s">
        <v>44</v>
      </c>
      <c r="I5">
        <v>4933</v>
      </c>
      <c r="J5" t="s">
        <v>196</v>
      </c>
    </row>
    <row r="6" spans="1:10" x14ac:dyDescent="0.3">
      <c r="A6" t="s">
        <v>251</v>
      </c>
      <c r="B6" t="s">
        <v>311</v>
      </c>
      <c r="C6" t="s">
        <v>312</v>
      </c>
      <c r="E6">
        <v>577.9</v>
      </c>
      <c r="G6">
        <v>577.9</v>
      </c>
      <c r="H6" t="s">
        <v>35</v>
      </c>
      <c r="I6">
        <v>3128</v>
      </c>
      <c r="J6" t="s">
        <v>17</v>
      </c>
    </row>
    <row r="7" spans="1:10" x14ac:dyDescent="0.3">
      <c r="A7" t="s">
        <v>69</v>
      </c>
      <c r="B7" t="s">
        <v>70</v>
      </c>
      <c r="C7" t="s">
        <v>71</v>
      </c>
      <c r="D7">
        <v>190.38</v>
      </c>
      <c r="H7" t="s">
        <v>35</v>
      </c>
      <c r="I7">
        <v>2950</v>
      </c>
      <c r="J7" t="s">
        <v>17</v>
      </c>
    </row>
    <row r="8" spans="1:10" x14ac:dyDescent="0.3">
      <c r="A8" t="s">
        <v>139</v>
      </c>
      <c r="B8" t="s">
        <v>140</v>
      </c>
      <c r="C8" t="s">
        <v>141</v>
      </c>
      <c r="D8">
        <v>363</v>
      </c>
      <c r="H8" t="s">
        <v>23</v>
      </c>
      <c r="I8">
        <v>2818</v>
      </c>
      <c r="J8" t="s">
        <v>49</v>
      </c>
    </row>
    <row r="9" spans="1:10" x14ac:dyDescent="0.3">
      <c r="A9" t="s">
        <v>309</v>
      </c>
      <c r="B9" t="s">
        <v>174</v>
      </c>
      <c r="C9" t="s">
        <v>310</v>
      </c>
      <c r="E9">
        <v>368.1</v>
      </c>
      <c r="G9">
        <v>368.1</v>
      </c>
      <c r="H9" t="s">
        <v>26</v>
      </c>
      <c r="I9">
        <v>2664</v>
      </c>
      <c r="J9" t="s">
        <v>17</v>
      </c>
    </row>
    <row r="10" spans="1:10" x14ac:dyDescent="0.3">
      <c r="A10" t="s">
        <v>252</v>
      </c>
      <c r="B10" t="s">
        <v>253</v>
      </c>
      <c r="C10" t="s">
        <v>254</v>
      </c>
      <c r="E10">
        <v>347.9</v>
      </c>
      <c r="G10">
        <v>347.9</v>
      </c>
      <c r="H10" t="s">
        <v>26</v>
      </c>
      <c r="I10">
        <v>2509</v>
      </c>
      <c r="J10" t="s">
        <v>17</v>
      </c>
    </row>
    <row r="11" spans="1:10" x14ac:dyDescent="0.3">
      <c r="A11" t="s">
        <v>142</v>
      </c>
      <c r="B11" t="s">
        <v>140</v>
      </c>
      <c r="C11" t="s">
        <v>143</v>
      </c>
      <c r="D11">
        <v>389</v>
      </c>
      <c r="H11" t="s">
        <v>26</v>
      </c>
      <c r="I11">
        <v>2172</v>
      </c>
      <c r="J11" t="s">
        <v>17</v>
      </c>
    </row>
    <row r="12" spans="1:10" x14ac:dyDescent="0.3">
      <c r="A12" t="s">
        <v>219</v>
      </c>
      <c r="B12" t="s">
        <v>192</v>
      </c>
      <c r="C12" t="s">
        <v>220</v>
      </c>
      <c r="F12">
        <v>580</v>
      </c>
      <c r="H12" t="s">
        <v>44</v>
      </c>
      <c r="I12">
        <v>2059</v>
      </c>
      <c r="J12" t="s">
        <v>17</v>
      </c>
    </row>
    <row r="13" spans="1:10" x14ac:dyDescent="0.3">
      <c r="A13" t="s">
        <v>255</v>
      </c>
      <c r="B13" t="s">
        <v>253</v>
      </c>
      <c r="C13" t="s">
        <v>256</v>
      </c>
      <c r="E13">
        <v>364</v>
      </c>
      <c r="G13">
        <v>364</v>
      </c>
      <c r="H13" t="s">
        <v>26</v>
      </c>
      <c r="I13">
        <v>1695</v>
      </c>
      <c r="J13" t="s">
        <v>196</v>
      </c>
    </row>
    <row r="14" spans="1:10" x14ac:dyDescent="0.3">
      <c r="A14" t="s">
        <v>50</v>
      </c>
      <c r="B14" t="s">
        <v>51</v>
      </c>
      <c r="C14" t="s">
        <v>52</v>
      </c>
      <c r="D14">
        <v>771.9</v>
      </c>
      <c r="H14" t="s">
        <v>35</v>
      </c>
      <c r="I14">
        <v>1648</v>
      </c>
      <c r="J14" t="s">
        <v>17</v>
      </c>
    </row>
    <row r="15" spans="1:10" x14ac:dyDescent="0.3">
      <c r="A15" t="s">
        <v>181</v>
      </c>
      <c r="B15" t="s">
        <v>182</v>
      </c>
      <c r="C15" t="s">
        <v>183</v>
      </c>
      <c r="D15">
        <v>399</v>
      </c>
      <c r="H15" t="s">
        <v>44</v>
      </c>
      <c r="I15">
        <v>1590</v>
      </c>
      <c r="J15" t="s">
        <v>184</v>
      </c>
    </row>
    <row r="16" spans="1:10" x14ac:dyDescent="0.3">
      <c r="A16" t="s">
        <v>46</v>
      </c>
      <c r="B16" t="s">
        <v>47</v>
      </c>
      <c r="C16" t="s">
        <v>48</v>
      </c>
      <c r="D16">
        <v>399</v>
      </c>
      <c r="H16" t="s">
        <v>16</v>
      </c>
      <c r="I16">
        <v>1447</v>
      </c>
      <c r="J16" t="s">
        <v>49</v>
      </c>
    </row>
    <row r="17" spans="1:10" x14ac:dyDescent="0.3">
      <c r="A17" t="s">
        <v>197</v>
      </c>
      <c r="B17" t="s">
        <v>198</v>
      </c>
      <c r="C17" t="s">
        <v>199</v>
      </c>
      <c r="D17">
        <v>473.3</v>
      </c>
      <c r="H17" t="s">
        <v>44</v>
      </c>
      <c r="I17">
        <v>1410</v>
      </c>
      <c r="J17" t="s">
        <v>74</v>
      </c>
    </row>
    <row r="18" spans="1:10" x14ac:dyDescent="0.3">
      <c r="A18" t="s">
        <v>257</v>
      </c>
      <c r="B18" t="s">
        <v>253</v>
      </c>
      <c r="C18" t="s">
        <v>258</v>
      </c>
      <c r="E18">
        <v>347.9</v>
      </c>
      <c r="G18">
        <v>347.9</v>
      </c>
      <c r="H18" t="s">
        <v>44</v>
      </c>
      <c r="I18">
        <v>1375</v>
      </c>
      <c r="J18" t="s">
        <v>17</v>
      </c>
    </row>
    <row r="19" spans="1:10" x14ac:dyDescent="0.3">
      <c r="A19" t="s">
        <v>168</v>
      </c>
      <c r="B19" t="s">
        <v>169</v>
      </c>
      <c r="C19" t="s">
        <v>170</v>
      </c>
      <c r="D19">
        <v>252.34</v>
      </c>
      <c r="H19" t="s">
        <v>26</v>
      </c>
      <c r="I19">
        <v>1354</v>
      </c>
      <c r="J19" t="s">
        <v>17</v>
      </c>
    </row>
    <row r="20" spans="1:10" x14ac:dyDescent="0.3">
      <c r="A20" t="s">
        <v>20</v>
      </c>
      <c r="B20" t="s">
        <v>21</v>
      </c>
      <c r="C20" t="s">
        <v>22</v>
      </c>
      <c r="D20">
        <v>162.74</v>
      </c>
      <c r="H20" t="s">
        <v>23</v>
      </c>
      <c r="I20">
        <v>1245</v>
      </c>
      <c r="J20" t="s">
        <v>17</v>
      </c>
    </row>
    <row r="21" spans="1:10" x14ac:dyDescent="0.3">
      <c r="A21" t="s">
        <v>72</v>
      </c>
      <c r="B21" t="s">
        <v>70</v>
      </c>
      <c r="C21" t="s">
        <v>73</v>
      </c>
      <c r="D21">
        <v>478.63</v>
      </c>
      <c r="H21" t="s">
        <v>26</v>
      </c>
      <c r="I21">
        <v>1208</v>
      </c>
      <c r="J21" t="s">
        <v>74</v>
      </c>
    </row>
    <row r="22" spans="1:10" x14ac:dyDescent="0.3">
      <c r="A22" t="s">
        <v>200</v>
      </c>
      <c r="B22" t="s">
        <v>198</v>
      </c>
      <c r="C22" t="s">
        <v>201</v>
      </c>
      <c r="D22">
        <v>199.08</v>
      </c>
      <c r="H22" t="s">
        <v>44</v>
      </c>
      <c r="I22">
        <v>1147</v>
      </c>
      <c r="J22" t="s">
        <v>17</v>
      </c>
    </row>
    <row r="23" spans="1:10" x14ac:dyDescent="0.3">
      <c r="A23" t="s">
        <v>75</v>
      </c>
      <c r="B23" t="s">
        <v>70</v>
      </c>
      <c r="C23" t="s">
        <v>76</v>
      </c>
      <c r="D23">
        <v>167.94</v>
      </c>
      <c r="H23" t="s">
        <v>26</v>
      </c>
      <c r="I23">
        <v>1131</v>
      </c>
      <c r="J23" t="s">
        <v>49</v>
      </c>
    </row>
    <row r="24" spans="1:10" x14ac:dyDescent="0.3">
      <c r="A24" t="s">
        <v>24</v>
      </c>
      <c r="B24" t="s">
        <v>21</v>
      </c>
      <c r="C24" t="s">
        <v>25</v>
      </c>
      <c r="D24">
        <v>140</v>
      </c>
      <c r="H24" t="s">
        <v>26</v>
      </c>
      <c r="I24">
        <v>1042</v>
      </c>
      <c r="J24" t="s">
        <v>17</v>
      </c>
    </row>
    <row r="25" spans="1:10" x14ac:dyDescent="0.3">
      <c r="A25" t="s">
        <v>185</v>
      </c>
      <c r="B25" t="s">
        <v>182</v>
      </c>
      <c r="C25" t="s">
        <v>186</v>
      </c>
      <c r="D25">
        <v>379</v>
      </c>
      <c r="H25" t="s">
        <v>44</v>
      </c>
      <c r="I25">
        <v>907</v>
      </c>
      <c r="J25" t="s">
        <v>17</v>
      </c>
    </row>
    <row r="26" spans="1:10" x14ac:dyDescent="0.3">
      <c r="A26" t="s">
        <v>217</v>
      </c>
      <c r="B26" t="s">
        <v>140</v>
      </c>
      <c r="C26" t="s">
        <v>218</v>
      </c>
      <c r="F26">
        <v>399</v>
      </c>
      <c r="H26" t="s">
        <v>23</v>
      </c>
      <c r="I26">
        <v>838</v>
      </c>
      <c r="J26" t="s">
        <v>84</v>
      </c>
    </row>
    <row r="27" spans="1:10" x14ac:dyDescent="0.3">
      <c r="A27" t="s">
        <v>152</v>
      </c>
      <c r="B27" t="s">
        <v>153</v>
      </c>
      <c r="C27" t="s">
        <v>154</v>
      </c>
      <c r="D27">
        <v>489</v>
      </c>
      <c r="H27" t="s">
        <v>44</v>
      </c>
      <c r="I27">
        <v>803</v>
      </c>
      <c r="J27" t="s">
        <v>155</v>
      </c>
    </row>
    <row r="28" spans="1:10" x14ac:dyDescent="0.3">
      <c r="A28" t="s">
        <v>242</v>
      </c>
      <c r="B28" t="s">
        <v>67</v>
      </c>
      <c r="C28" t="s">
        <v>243</v>
      </c>
      <c r="E28">
        <v>230.2</v>
      </c>
      <c r="G28">
        <v>230.2</v>
      </c>
      <c r="H28" t="s">
        <v>60</v>
      </c>
      <c r="I28">
        <v>735</v>
      </c>
      <c r="J28" t="s">
        <v>17</v>
      </c>
    </row>
    <row r="29" spans="1:10" x14ac:dyDescent="0.3">
      <c r="A29" t="s">
        <v>278</v>
      </c>
      <c r="B29" t="s">
        <v>279</v>
      </c>
      <c r="C29" t="s">
        <v>280</v>
      </c>
      <c r="E29">
        <v>331.55</v>
      </c>
      <c r="G29">
        <v>331.55</v>
      </c>
      <c r="H29" t="s">
        <v>35</v>
      </c>
      <c r="I29">
        <v>719</v>
      </c>
      <c r="J29" t="s">
        <v>17</v>
      </c>
    </row>
    <row r="30" spans="1:10" x14ac:dyDescent="0.3">
      <c r="A30" t="s">
        <v>313</v>
      </c>
      <c r="B30" t="s">
        <v>311</v>
      </c>
      <c r="C30" t="s">
        <v>314</v>
      </c>
      <c r="E30">
        <v>477.9</v>
      </c>
      <c r="G30">
        <v>477.9</v>
      </c>
      <c r="H30" t="s">
        <v>88</v>
      </c>
      <c r="I30">
        <v>712</v>
      </c>
      <c r="J30" t="s">
        <v>17</v>
      </c>
    </row>
    <row r="31" spans="1:10" x14ac:dyDescent="0.3">
      <c r="A31" t="s">
        <v>92</v>
      </c>
      <c r="B31" t="s">
        <v>93</v>
      </c>
      <c r="C31" t="s">
        <v>94</v>
      </c>
      <c r="D31">
        <v>427.49</v>
      </c>
      <c r="H31" t="s">
        <v>26</v>
      </c>
      <c r="I31">
        <v>711</v>
      </c>
      <c r="J31" t="s">
        <v>17</v>
      </c>
    </row>
    <row r="32" spans="1:10" x14ac:dyDescent="0.3">
      <c r="A32" t="s">
        <v>53</v>
      </c>
      <c r="B32" t="s">
        <v>51</v>
      </c>
      <c r="C32" t="s">
        <v>54</v>
      </c>
      <c r="D32">
        <v>184.9</v>
      </c>
      <c r="H32" t="s">
        <v>23</v>
      </c>
      <c r="I32">
        <v>624</v>
      </c>
      <c r="J32" t="s">
        <v>17</v>
      </c>
    </row>
    <row r="33" spans="1:10" x14ac:dyDescent="0.3">
      <c r="A33" t="s">
        <v>161</v>
      </c>
      <c r="B33" t="s">
        <v>162</v>
      </c>
      <c r="C33" t="s">
        <v>163</v>
      </c>
      <c r="D33">
        <v>680</v>
      </c>
      <c r="H33" t="s">
        <v>98</v>
      </c>
      <c r="I33">
        <v>570</v>
      </c>
      <c r="J33" t="s">
        <v>164</v>
      </c>
    </row>
    <row r="34" spans="1:10" x14ac:dyDescent="0.3">
      <c r="A34" t="s">
        <v>27</v>
      </c>
      <c r="B34" t="s">
        <v>21</v>
      </c>
      <c r="C34" t="s">
        <v>28</v>
      </c>
      <c r="D34">
        <v>144.66999999999999</v>
      </c>
      <c r="H34" t="s">
        <v>23</v>
      </c>
      <c r="I34">
        <v>564</v>
      </c>
      <c r="J34" t="s">
        <v>17</v>
      </c>
    </row>
    <row r="35" spans="1:10" x14ac:dyDescent="0.3">
      <c r="A35" t="s">
        <v>173</v>
      </c>
      <c r="B35" t="s">
        <v>174</v>
      </c>
      <c r="C35" t="s">
        <v>175</v>
      </c>
      <c r="D35">
        <v>624.99</v>
      </c>
      <c r="H35" t="s">
        <v>26</v>
      </c>
      <c r="I35">
        <v>480</v>
      </c>
      <c r="J35" t="s">
        <v>17</v>
      </c>
    </row>
    <row r="36" spans="1:10" x14ac:dyDescent="0.3">
      <c r="A36" t="s">
        <v>317</v>
      </c>
      <c r="B36" t="s">
        <v>318</v>
      </c>
      <c r="C36" t="s">
        <v>319</v>
      </c>
      <c r="E36">
        <v>426.54</v>
      </c>
      <c r="G36">
        <v>426.54</v>
      </c>
      <c r="H36" t="s">
        <v>98</v>
      </c>
      <c r="I36">
        <v>479</v>
      </c>
      <c r="J36" t="s">
        <v>17</v>
      </c>
    </row>
    <row r="37" spans="1:10" x14ac:dyDescent="0.3">
      <c r="A37" t="s">
        <v>315</v>
      </c>
      <c r="B37" t="s">
        <v>311</v>
      </c>
      <c r="C37" t="s">
        <v>316</v>
      </c>
      <c r="E37">
        <v>426.9</v>
      </c>
      <c r="G37">
        <v>426.9</v>
      </c>
      <c r="H37" t="s">
        <v>31</v>
      </c>
      <c r="I37">
        <v>477</v>
      </c>
      <c r="J37" t="s">
        <v>17</v>
      </c>
    </row>
    <row r="38" spans="1:10" x14ac:dyDescent="0.3">
      <c r="A38" t="s">
        <v>270</v>
      </c>
      <c r="B38" t="s">
        <v>271</v>
      </c>
      <c r="C38" t="s">
        <v>272</v>
      </c>
      <c r="E38">
        <v>449.1</v>
      </c>
      <c r="G38">
        <v>449.1</v>
      </c>
      <c r="H38" t="s">
        <v>88</v>
      </c>
      <c r="I38">
        <v>459</v>
      </c>
      <c r="J38" t="s">
        <v>17</v>
      </c>
    </row>
    <row r="39" spans="1:10" x14ac:dyDescent="0.3">
      <c r="A39" t="s">
        <v>239</v>
      </c>
      <c r="B39" t="s">
        <v>240</v>
      </c>
      <c r="C39" t="s">
        <v>241</v>
      </c>
      <c r="E39">
        <v>326.27</v>
      </c>
      <c r="G39">
        <v>326.27</v>
      </c>
      <c r="H39" t="s">
        <v>31</v>
      </c>
      <c r="I39">
        <v>447</v>
      </c>
      <c r="J39" t="s">
        <v>17</v>
      </c>
    </row>
    <row r="40" spans="1:10" x14ac:dyDescent="0.3">
      <c r="A40" t="s">
        <v>259</v>
      </c>
      <c r="B40" t="s">
        <v>100</v>
      </c>
      <c r="C40" t="s">
        <v>260</v>
      </c>
      <c r="E40">
        <v>178.5</v>
      </c>
      <c r="G40">
        <v>178.5</v>
      </c>
      <c r="H40" t="s">
        <v>23</v>
      </c>
      <c r="I40">
        <v>441</v>
      </c>
      <c r="J40" t="s">
        <v>17</v>
      </c>
    </row>
    <row r="41" spans="1:10" x14ac:dyDescent="0.3">
      <c r="A41" t="s">
        <v>113</v>
      </c>
      <c r="B41" t="s">
        <v>114</v>
      </c>
      <c r="C41" t="s">
        <v>115</v>
      </c>
      <c r="D41">
        <v>499</v>
      </c>
      <c r="H41" t="s">
        <v>60</v>
      </c>
      <c r="I41">
        <v>436</v>
      </c>
      <c r="J41" t="s">
        <v>17</v>
      </c>
    </row>
    <row r="42" spans="1:10" x14ac:dyDescent="0.3">
      <c r="A42" t="s">
        <v>13</v>
      </c>
      <c r="B42" t="s">
        <v>14</v>
      </c>
      <c r="C42" t="s">
        <v>15</v>
      </c>
      <c r="D42">
        <v>399</v>
      </c>
      <c r="H42" t="s">
        <v>16</v>
      </c>
      <c r="I42">
        <v>418</v>
      </c>
      <c r="J42" t="s">
        <v>17</v>
      </c>
    </row>
    <row r="43" spans="1:10" x14ac:dyDescent="0.3">
      <c r="A43" t="s">
        <v>165</v>
      </c>
      <c r="B43" t="s">
        <v>166</v>
      </c>
      <c r="C43" t="s">
        <v>167</v>
      </c>
      <c r="D43">
        <v>804.9</v>
      </c>
      <c r="H43" t="s">
        <v>26</v>
      </c>
      <c r="I43">
        <v>404</v>
      </c>
      <c r="J43" t="s">
        <v>49</v>
      </c>
    </row>
    <row r="44" spans="1:10" x14ac:dyDescent="0.3">
      <c r="A44" t="s">
        <v>221</v>
      </c>
      <c r="B44" t="s">
        <v>222</v>
      </c>
      <c r="C44" t="s">
        <v>223</v>
      </c>
      <c r="E44">
        <v>303.05</v>
      </c>
      <c r="G44">
        <v>303.05</v>
      </c>
      <c r="H44" t="s">
        <v>44</v>
      </c>
      <c r="I44">
        <v>380</v>
      </c>
      <c r="J44" t="s">
        <v>17</v>
      </c>
    </row>
    <row r="45" spans="1:10" x14ac:dyDescent="0.3">
      <c r="A45" t="s">
        <v>230</v>
      </c>
      <c r="B45" t="s">
        <v>231</v>
      </c>
      <c r="C45" t="s">
        <v>232</v>
      </c>
      <c r="E45">
        <v>223.92</v>
      </c>
      <c r="G45">
        <v>223.92</v>
      </c>
      <c r="H45" t="s">
        <v>88</v>
      </c>
      <c r="I45">
        <v>361</v>
      </c>
      <c r="J45" t="s">
        <v>17</v>
      </c>
    </row>
    <row r="46" spans="1:10" x14ac:dyDescent="0.3">
      <c r="A46" t="s">
        <v>29</v>
      </c>
      <c r="B46" t="s">
        <v>21</v>
      </c>
      <c r="C46" t="s">
        <v>30</v>
      </c>
      <c r="D46">
        <v>890</v>
      </c>
      <c r="H46" t="s">
        <v>31</v>
      </c>
      <c r="I46">
        <v>345</v>
      </c>
      <c r="J46" t="s">
        <v>32</v>
      </c>
    </row>
    <row r="47" spans="1:10" x14ac:dyDescent="0.3">
      <c r="A47" t="s">
        <v>61</v>
      </c>
      <c r="B47" t="s">
        <v>62</v>
      </c>
      <c r="C47" t="s">
        <v>63</v>
      </c>
      <c r="D47">
        <v>539</v>
      </c>
      <c r="H47" t="s">
        <v>35</v>
      </c>
      <c r="I47">
        <v>343</v>
      </c>
      <c r="J47" t="s">
        <v>17</v>
      </c>
    </row>
    <row r="48" spans="1:10" x14ac:dyDescent="0.3">
      <c r="A48" t="s">
        <v>261</v>
      </c>
      <c r="B48" t="s">
        <v>100</v>
      </c>
      <c r="C48" t="s">
        <v>262</v>
      </c>
      <c r="E48">
        <v>304.5</v>
      </c>
      <c r="G48">
        <v>304.5</v>
      </c>
      <c r="H48" t="s">
        <v>26</v>
      </c>
      <c r="I48">
        <v>320</v>
      </c>
      <c r="J48" t="s">
        <v>17</v>
      </c>
    </row>
    <row r="49" spans="1:10" x14ac:dyDescent="0.3">
      <c r="A49" t="s">
        <v>119</v>
      </c>
      <c r="B49" t="s">
        <v>120</v>
      </c>
      <c r="C49" t="s">
        <v>121</v>
      </c>
      <c r="D49">
        <v>299</v>
      </c>
      <c r="H49" t="s">
        <v>16</v>
      </c>
      <c r="I49">
        <v>314</v>
      </c>
      <c r="J49" t="s">
        <v>17</v>
      </c>
    </row>
    <row r="50" spans="1:10" x14ac:dyDescent="0.3">
      <c r="A50" t="s">
        <v>77</v>
      </c>
      <c r="B50" t="s">
        <v>70</v>
      </c>
      <c r="C50" t="s">
        <v>78</v>
      </c>
      <c r="D50">
        <v>279.89999999999998</v>
      </c>
      <c r="H50" t="s">
        <v>26</v>
      </c>
      <c r="I50">
        <v>303</v>
      </c>
      <c r="J50" t="s">
        <v>17</v>
      </c>
    </row>
    <row r="51" spans="1:10" x14ac:dyDescent="0.3">
      <c r="A51" t="s">
        <v>89</v>
      </c>
      <c r="B51" t="s">
        <v>90</v>
      </c>
      <c r="C51" t="s">
        <v>91</v>
      </c>
      <c r="D51">
        <v>295</v>
      </c>
      <c r="H51" t="s">
        <v>44</v>
      </c>
      <c r="I51">
        <v>301</v>
      </c>
      <c r="J51" t="s">
        <v>17</v>
      </c>
    </row>
    <row r="52" spans="1:10" x14ac:dyDescent="0.3">
      <c r="A52" t="s">
        <v>64</v>
      </c>
      <c r="B52" t="s">
        <v>62</v>
      </c>
      <c r="C52" t="s">
        <v>65</v>
      </c>
      <c r="D52">
        <v>539</v>
      </c>
      <c r="H52" t="s">
        <v>23</v>
      </c>
      <c r="I52">
        <v>299</v>
      </c>
      <c r="J52" t="s">
        <v>17</v>
      </c>
    </row>
    <row r="53" spans="1:10" x14ac:dyDescent="0.3">
      <c r="A53" t="s">
        <v>292</v>
      </c>
      <c r="B53" t="s">
        <v>293</v>
      </c>
      <c r="C53" t="s">
        <v>294</v>
      </c>
      <c r="E53">
        <v>318.60000000000002</v>
      </c>
      <c r="G53">
        <v>318.60000000000002</v>
      </c>
      <c r="H53" t="s">
        <v>16</v>
      </c>
      <c r="I53">
        <v>298</v>
      </c>
      <c r="J53" t="s">
        <v>17</v>
      </c>
    </row>
    <row r="54" spans="1:10" x14ac:dyDescent="0.3">
      <c r="A54" t="s">
        <v>209</v>
      </c>
      <c r="B54" t="s">
        <v>210</v>
      </c>
      <c r="C54" t="s">
        <v>211</v>
      </c>
      <c r="D54">
        <v>375</v>
      </c>
      <c r="H54" t="s">
        <v>44</v>
      </c>
      <c r="I54">
        <v>296</v>
      </c>
      <c r="J54" t="s">
        <v>196</v>
      </c>
    </row>
    <row r="55" spans="1:10" x14ac:dyDescent="0.3">
      <c r="A55" t="s">
        <v>176</v>
      </c>
      <c r="B55" t="s">
        <v>174</v>
      </c>
      <c r="C55" t="s">
        <v>177</v>
      </c>
      <c r="D55">
        <v>344.99</v>
      </c>
      <c r="H55" t="s">
        <v>23</v>
      </c>
      <c r="I55">
        <v>287</v>
      </c>
      <c r="J55" t="s">
        <v>17</v>
      </c>
    </row>
    <row r="56" spans="1:10" x14ac:dyDescent="0.3">
      <c r="A56" t="s">
        <v>55</v>
      </c>
      <c r="B56" t="s">
        <v>51</v>
      </c>
      <c r="C56" t="s">
        <v>56</v>
      </c>
      <c r="D56">
        <v>552.9</v>
      </c>
      <c r="H56" t="s">
        <v>35</v>
      </c>
      <c r="I56">
        <v>286</v>
      </c>
      <c r="J56" t="s">
        <v>17</v>
      </c>
    </row>
    <row r="57" spans="1:10" x14ac:dyDescent="0.3">
      <c r="A57" t="s">
        <v>263</v>
      </c>
      <c r="B57" t="s">
        <v>100</v>
      </c>
      <c r="C57" t="s">
        <v>264</v>
      </c>
      <c r="E57">
        <v>367.5</v>
      </c>
      <c r="G57">
        <v>367.5</v>
      </c>
      <c r="H57" t="s">
        <v>26</v>
      </c>
      <c r="I57">
        <v>285</v>
      </c>
      <c r="J57" t="s">
        <v>17</v>
      </c>
    </row>
    <row r="58" spans="1:10" x14ac:dyDescent="0.3">
      <c r="A58" t="s">
        <v>110</v>
      </c>
      <c r="B58" t="s">
        <v>111</v>
      </c>
      <c r="C58" t="s">
        <v>112</v>
      </c>
      <c r="D58">
        <v>650</v>
      </c>
      <c r="H58" t="s">
        <v>26</v>
      </c>
      <c r="I58">
        <v>283</v>
      </c>
      <c r="J58" t="s">
        <v>17</v>
      </c>
    </row>
    <row r="59" spans="1:10" x14ac:dyDescent="0.3">
      <c r="A59" t="s">
        <v>233</v>
      </c>
      <c r="B59" t="s">
        <v>234</v>
      </c>
      <c r="C59" t="s">
        <v>235</v>
      </c>
      <c r="E59">
        <v>711.55</v>
      </c>
      <c r="G59">
        <v>711.55</v>
      </c>
      <c r="H59" t="s">
        <v>23</v>
      </c>
      <c r="I59">
        <v>281</v>
      </c>
      <c r="J59" t="s">
        <v>17</v>
      </c>
    </row>
    <row r="60" spans="1:10" x14ac:dyDescent="0.3">
      <c r="A60" t="s">
        <v>149</v>
      </c>
      <c r="B60" t="s">
        <v>150</v>
      </c>
      <c r="C60" t="s">
        <v>151</v>
      </c>
      <c r="D60">
        <v>320</v>
      </c>
      <c r="H60" t="s">
        <v>23</v>
      </c>
      <c r="I60">
        <v>269</v>
      </c>
      <c r="J60" t="s">
        <v>17</v>
      </c>
    </row>
    <row r="61" spans="1:10" x14ac:dyDescent="0.3">
      <c r="A61" t="s">
        <v>306</v>
      </c>
      <c r="B61" t="s">
        <v>307</v>
      </c>
      <c r="C61" t="s">
        <v>308</v>
      </c>
      <c r="E61">
        <v>145</v>
      </c>
      <c r="G61">
        <v>145</v>
      </c>
      <c r="H61" t="s">
        <v>35</v>
      </c>
      <c r="I61">
        <v>261</v>
      </c>
      <c r="J61" t="s">
        <v>17</v>
      </c>
    </row>
    <row r="62" spans="1:10" x14ac:dyDescent="0.3">
      <c r="A62" t="s">
        <v>95</v>
      </c>
      <c r="B62" t="s">
        <v>96</v>
      </c>
      <c r="C62" t="s">
        <v>97</v>
      </c>
      <c r="D62">
        <v>498</v>
      </c>
      <c r="H62" t="s">
        <v>98</v>
      </c>
      <c r="I62">
        <v>260</v>
      </c>
      <c r="J62" t="s">
        <v>17</v>
      </c>
    </row>
    <row r="63" spans="1:10" x14ac:dyDescent="0.3">
      <c r="A63" t="s">
        <v>18</v>
      </c>
      <c r="B63" t="s">
        <v>14</v>
      </c>
      <c r="C63" t="s">
        <v>19</v>
      </c>
      <c r="D63">
        <v>399</v>
      </c>
      <c r="H63" t="s">
        <v>16</v>
      </c>
      <c r="I63">
        <v>258</v>
      </c>
      <c r="J63" t="s">
        <v>17</v>
      </c>
    </row>
    <row r="64" spans="1:10" x14ac:dyDescent="0.3">
      <c r="A64" t="s">
        <v>244</v>
      </c>
      <c r="B64" t="s">
        <v>67</v>
      </c>
      <c r="C64" t="s">
        <v>245</v>
      </c>
      <c r="E64">
        <v>284.10000000000002</v>
      </c>
      <c r="G64">
        <v>284.10000000000002</v>
      </c>
      <c r="H64" t="s">
        <v>60</v>
      </c>
      <c r="I64">
        <v>254</v>
      </c>
      <c r="J64" t="s">
        <v>17</v>
      </c>
    </row>
    <row r="65" spans="1:10" x14ac:dyDescent="0.3">
      <c r="A65" t="s">
        <v>320</v>
      </c>
      <c r="B65" t="s">
        <v>321</v>
      </c>
      <c r="C65" t="s">
        <v>322</v>
      </c>
      <c r="E65">
        <v>501.93</v>
      </c>
      <c r="G65">
        <v>501.93</v>
      </c>
      <c r="H65" t="s">
        <v>31</v>
      </c>
      <c r="I65">
        <v>252</v>
      </c>
      <c r="J65" t="s">
        <v>196</v>
      </c>
    </row>
    <row r="66" spans="1:10" x14ac:dyDescent="0.3">
      <c r="A66" t="s">
        <v>227</v>
      </c>
      <c r="B66" t="s">
        <v>228</v>
      </c>
      <c r="C66" t="s">
        <v>229</v>
      </c>
      <c r="E66">
        <v>750.5</v>
      </c>
      <c r="G66">
        <v>750.5</v>
      </c>
      <c r="H66" t="s">
        <v>60</v>
      </c>
      <c r="I66">
        <v>248</v>
      </c>
      <c r="J66" t="s">
        <v>17</v>
      </c>
    </row>
    <row r="67" spans="1:10" x14ac:dyDescent="0.3">
      <c r="A67" t="s">
        <v>79</v>
      </c>
      <c r="B67" t="s">
        <v>70</v>
      </c>
      <c r="C67" t="s">
        <v>80</v>
      </c>
      <c r="D67">
        <v>478.63</v>
      </c>
      <c r="H67" t="s">
        <v>31</v>
      </c>
      <c r="I67">
        <v>236</v>
      </c>
      <c r="J67" t="s">
        <v>74</v>
      </c>
    </row>
    <row r="68" spans="1:10" x14ac:dyDescent="0.3">
      <c r="A68" t="s">
        <v>295</v>
      </c>
      <c r="B68" t="s">
        <v>296</v>
      </c>
      <c r="C68" t="s">
        <v>297</v>
      </c>
      <c r="E68">
        <v>312.55</v>
      </c>
      <c r="G68">
        <v>312.55</v>
      </c>
      <c r="H68" t="s">
        <v>98</v>
      </c>
      <c r="I68">
        <v>231</v>
      </c>
      <c r="J68" t="s">
        <v>17</v>
      </c>
    </row>
    <row r="69" spans="1:10" x14ac:dyDescent="0.3">
      <c r="A69" t="s">
        <v>206</v>
      </c>
      <c r="B69" t="s">
        <v>207</v>
      </c>
      <c r="C69" t="s">
        <v>208</v>
      </c>
      <c r="D69">
        <v>499</v>
      </c>
      <c r="H69" t="s">
        <v>88</v>
      </c>
      <c r="I69">
        <v>228</v>
      </c>
      <c r="J69" t="s">
        <v>196</v>
      </c>
    </row>
    <row r="70" spans="1:10" x14ac:dyDescent="0.3">
      <c r="A70" t="s">
        <v>289</v>
      </c>
      <c r="B70" t="s">
        <v>290</v>
      </c>
      <c r="C70" t="s">
        <v>291</v>
      </c>
      <c r="E70">
        <v>236.55</v>
      </c>
      <c r="G70">
        <v>236.55</v>
      </c>
      <c r="H70" t="s">
        <v>16</v>
      </c>
      <c r="I70">
        <v>227</v>
      </c>
      <c r="J70" t="s">
        <v>17</v>
      </c>
    </row>
    <row r="71" spans="1:10" x14ac:dyDescent="0.3">
      <c r="A71" t="s">
        <v>36</v>
      </c>
      <c r="B71" t="s">
        <v>37</v>
      </c>
      <c r="C71" t="s">
        <v>38</v>
      </c>
      <c r="D71">
        <v>410</v>
      </c>
      <c r="H71" t="s">
        <v>26</v>
      </c>
      <c r="I71">
        <v>201</v>
      </c>
      <c r="J71" t="s">
        <v>17</v>
      </c>
    </row>
    <row r="72" spans="1:10" x14ac:dyDescent="0.3">
      <c r="A72" t="s">
        <v>66</v>
      </c>
      <c r="B72" t="s">
        <v>67</v>
      </c>
      <c r="C72" t="s">
        <v>68</v>
      </c>
      <c r="D72">
        <v>136.9</v>
      </c>
      <c r="H72" t="s">
        <v>23</v>
      </c>
      <c r="I72">
        <v>198</v>
      </c>
      <c r="J72" t="s">
        <v>17</v>
      </c>
    </row>
    <row r="73" spans="1:10" x14ac:dyDescent="0.3">
      <c r="A73" t="s">
        <v>202</v>
      </c>
      <c r="B73" t="s">
        <v>203</v>
      </c>
      <c r="C73" t="s">
        <v>204</v>
      </c>
      <c r="D73">
        <v>399.9</v>
      </c>
      <c r="H73" t="s">
        <v>35</v>
      </c>
      <c r="I73">
        <v>197</v>
      </c>
      <c r="J73" t="s">
        <v>205</v>
      </c>
    </row>
    <row r="74" spans="1:10" x14ac:dyDescent="0.3">
      <c r="A74" t="s">
        <v>300</v>
      </c>
      <c r="B74" t="s">
        <v>301</v>
      </c>
      <c r="C74" t="s">
        <v>302</v>
      </c>
      <c r="E74">
        <v>519.91999999999996</v>
      </c>
      <c r="G74">
        <v>519.91999999999996</v>
      </c>
      <c r="H74" t="s">
        <v>35</v>
      </c>
      <c r="I74">
        <v>196</v>
      </c>
      <c r="J74" t="s">
        <v>17</v>
      </c>
    </row>
    <row r="75" spans="1:10" x14ac:dyDescent="0.3">
      <c r="A75" t="s">
        <v>158</v>
      </c>
      <c r="B75" t="s">
        <v>159</v>
      </c>
      <c r="C75" t="s">
        <v>160</v>
      </c>
      <c r="D75">
        <v>321</v>
      </c>
      <c r="H75" t="s">
        <v>23</v>
      </c>
      <c r="I75">
        <v>195</v>
      </c>
      <c r="J75" t="s">
        <v>17</v>
      </c>
    </row>
    <row r="76" spans="1:10" x14ac:dyDescent="0.3">
      <c r="A76" t="s">
        <v>99</v>
      </c>
      <c r="B76" t="s">
        <v>100</v>
      </c>
      <c r="C76" t="s">
        <v>101</v>
      </c>
      <c r="D76">
        <v>458</v>
      </c>
      <c r="H76" t="s">
        <v>26</v>
      </c>
      <c r="I76">
        <v>194</v>
      </c>
      <c r="J76" t="s">
        <v>17</v>
      </c>
    </row>
    <row r="77" spans="1:10" x14ac:dyDescent="0.3">
      <c r="A77" t="s">
        <v>122</v>
      </c>
      <c r="B77" t="s">
        <v>123</v>
      </c>
      <c r="C77" t="s">
        <v>124</v>
      </c>
      <c r="D77">
        <v>482.46</v>
      </c>
      <c r="H77" t="s">
        <v>98</v>
      </c>
      <c r="I77">
        <v>193</v>
      </c>
      <c r="J77" t="s">
        <v>49</v>
      </c>
    </row>
    <row r="78" spans="1:10" x14ac:dyDescent="0.3">
      <c r="A78" t="s">
        <v>156</v>
      </c>
      <c r="B78" t="s">
        <v>153</v>
      </c>
      <c r="C78" t="s">
        <v>157</v>
      </c>
      <c r="D78">
        <v>789</v>
      </c>
      <c r="H78" t="s">
        <v>26</v>
      </c>
      <c r="I78">
        <v>192</v>
      </c>
      <c r="J78" t="s">
        <v>155</v>
      </c>
    </row>
    <row r="79" spans="1:10" x14ac:dyDescent="0.3">
      <c r="A79" t="s">
        <v>107</v>
      </c>
      <c r="B79" t="s">
        <v>108</v>
      </c>
      <c r="C79" t="s">
        <v>109</v>
      </c>
      <c r="D79">
        <v>400</v>
      </c>
      <c r="H79" t="s">
        <v>35</v>
      </c>
      <c r="I79">
        <v>190</v>
      </c>
      <c r="J79" t="s">
        <v>17</v>
      </c>
    </row>
    <row r="80" spans="1:10" x14ac:dyDescent="0.3">
      <c r="A80" t="s">
        <v>187</v>
      </c>
      <c r="B80" t="s">
        <v>182</v>
      </c>
      <c r="C80" t="s">
        <v>188</v>
      </c>
      <c r="D80">
        <v>536.41</v>
      </c>
      <c r="H80" t="s">
        <v>35</v>
      </c>
      <c r="I80">
        <v>190</v>
      </c>
      <c r="J80" t="s">
        <v>17</v>
      </c>
    </row>
    <row r="81" spans="1:10" x14ac:dyDescent="0.3">
      <c r="A81" t="s">
        <v>323</v>
      </c>
      <c r="B81" t="s">
        <v>321</v>
      </c>
      <c r="C81" t="s">
        <v>324</v>
      </c>
      <c r="E81">
        <v>492.23</v>
      </c>
      <c r="G81">
        <v>492.23</v>
      </c>
      <c r="H81" t="s">
        <v>88</v>
      </c>
      <c r="I81">
        <v>186</v>
      </c>
      <c r="J81" t="s">
        <v>196</v>
      </c>
    </row>
    <row r="82" spans="1:10" x14ac:dyDescent="0.3">
      <c r="A82" t="s">
        <v>125</v>
      </c>
      <c r="B82" t="s">
        <v>123</v>
      </c>
      <c r="C82" t="s">
        <v>126</v>
      </c>
      <c r="D82">
        <v>468.35</v>
      </c>
      <c r="H82" t="s">
        <v>98</v>
      </c>
      <c r="I82">
        <v>184</v>
      </c>
      <c r="J82" t="s">
        <v>127</v>
      </c>
    </row>
    <row r="83" spans="1:10" x14ac:dyDescent="0.3">
      <c r="A83" t="s">
        <v>133</v>
      </c>
      <c r="B83" t="s">
        <v>134</v>
      </c>
      <c r="C83" t="s">
        <v>135</v>
      </c>
      <c r="D83">
        <v>549</v>
      </c>
      <c r="H83" t="s">
        <v>44</v>
      </c>
      <c r="I83">
        <v>181</v>
      </c>
      <c r="J83" t="s">
        <v>17</v>
      </c>
    </row>
    <row r="84" spans="1:10" x14ac:dyDescent="0.3">
      <c r="A84" t="s">
        <v>224</v>
      </c>
      <c r="B84" t="s">
        <v>225</v>
      </c>
      <c r="C84" t="s">
        <v>226</v>
      </c>
      <c r="E84">
        <v>806.65</v>
      </c>
      <c r="G84">
        <v>806.65</v>
      </c>
      <c r="H84" t="s">
        <v>60</v>
      </c>
      <c r="I84">
        <v>180</v>
      </c>
      <c r="J84" t="s">
        <v>17</v>
      </c>
    </row>
    <row r="85" spans="1:10" x14ac:dyDescent="0.3">
      <c r="A85" t="s">
        <v>265</v>
      </c>
      <c r="B85" t="s">
        <v>100</v>
      </c>
      <c r="C85" t="s">
        <v>266</v>
      </c>
      <c r="E85">
        <v>178.5</v>
      </c>
      <c r="G85">
        <v>178.5</v>
      </c>
      <c r="H85" t="s">
        <v>35</v>
      </c>
      <c r="I85">
        <v>179</v>
      </c>
      <c r="J85" t="s">
        <v>17</v>
      </c>
    </row>
    <row r="86" spans="1:10" x14ac:dyDescent="0.3">
      <c r="A86" t="s">
        <v>41</v>
      </c>
      <c r="B86" t="s">
        <v>42</v>
      </c>
      <c r="C86" t="s">
        <v>43</v>
      </c>
      <c r="D86">
        <v>999.9</v>
      </c>
      <c r="H86" t="s">
        <v>44</v>
      </c>
      <c r="I86">
        <v>177</v>
      </c>
      <c r="J86" t="s">
        <v>45</v>
      </c>
    </row>
    <row r="87" spans="1:10" x14ac:dyDescent="0.3">
      <c r="A87" t="s">
        <v>144</v>
      </c>
      <c r="B87" t="s">
        <v>145</v>
      </c>
      <c r="C87" t="s">
        <v>146</v>
      </c>
      <c r="D87">
        <v>319.2</v>
      </c>
      <c r="H87" t="s">
        <v>23</v>
      </c>
      <c r="I87">
        <v>173</v>
      </c>
      <c r="J87" t="s">
        <v>17</v>
      </c>
    </row>
    <row r="88" spans="1:10" x14ac:dyDescent="0.3">
      <c r="A88" t="s">
        <v>246</v>
      </c>
      <c r="B88" t="s">
        <v>70</v>
      </c>
      <c r="C88" t="s">
        <v>247</v>
      </c>
      <c r="E88">
        <v>316.35000000000002</v>
      </c>
      <c r="G88">
        <v>316.35000000000002</v>
      </c>
      <c r="H88" t="s">
        <v>23</v>
      </c>
      <c r="I88">
        <v>171</v>
      </c>
      <c r="J88" t="s">
        <v>17</v>
      </c>
    </row>
    <row r="89" spans="1:10" x14ac:dyDescent="0.3">
      <c r="A89" t="s">
        <v>303</v>
      </c>
      <c r="B89" t="s">
        <v>304</v>
      </c>
      <c r="C89" t="s">
        <v>305</v>
      </c>
      <c r="E89">
        <v>351.5</v>
      </c>
      <c r="G89">
        <v>351.5</v>
      </c>
      <c r="H89" t="s">
        <v>44</v>
      </c>
      <c r="I89">
        <v>169</v>
      </c>
      <c r="J89" t="s">
        <v>17</v>
      </c>
    </row>
    <row r="90" spans="1:10" x14ac:dyDescent="0.3">
      <c r="A90" t="s">
        <v>298</v>
      </c>
      <c r="B90" t="s">
        <v>296</v>
      </c>
      <c r="C90" t="s">
        <v>299</v>
      </c>
      <c r="E90">
        <v>416.19</v>
      </c>
      <c r="G90">
        <v>416.19</v>
      </c>
      <c r="H90" t="s">
        <v>88</v>
      </c>
      <c r="I90">
        <v>166</v>
      </c>
      <c r="J90" t="s">
        <v>17</v>
      </c>
    </row>
    <row r="91" spans="1:10" x14ac:dyDescent="0.3">
      <c r="A91" t="s">
        <v>267</v>
      </c>
      <c r="B91" t="s">
        <v>268</v>
      </c>
      <c r="C91" t="s">
        <v>269</v>
      </c>
      <c r="E91">
        <v>197.9</v>
      </c>
      <c r="G91">
        <v>197.9</v>
      </c>
      <c r="H91" t="s">
        <v>44</v>
      </c>
      <c r="I91">
        <v>164</v>
      </c>
      <c r="J91" t="s">
        <v>17</v>
      </c>
    </row>
    <row r="92" spans="1:10" x14ac:dyDescent="0.3">
      <c r="A92" t="s">
        <v>33</v>
      </c>
      <c r="B92" t="s">
        <v>21</v>
      </c>
      <c r="C92" t="s">
        <v>34</v>
      </c>
      <c r="D92">
        <v>199.99</v>
      </c>
      <c r="H92" t="s">
        <v>35</v>
      </c>
      <c r="I92">
        <v>160</v>
      </c>
      <c r="J92" t="s">
        <v>17</v>
      </c>
    </row>
    <row r="93" spans="1:10" x14ac:dyDescent="0.3">
      <c r="A93" t="s">
        <v>286</v>
      </c>
      <c r="B93" t="s">
        <v>287</v>
      </c>
      <c r="C93" t="s">
        <v>288</v>
      </c>
      <c r="E93">
        <v>703</v>
      </c>
      <c r="G93">
        <v>703</v>
      </c>
      <c r="H93" t="s">
        <v>251</v>
      </c>
      <c r="I93">
        <v>160</v>
      </c>
      <c r="J93" t="s">
        <v>17</v>
      </c>
    </row>
    <row r="94" spans="1:10" x14ac:dyDescent="0.3">
      <c r="A94" t="s">
        <v>136</v>
      </c>
      <c r="B94" t="s">
        <v>137</v>
      </c>
      <c r="C94" t="s">
        <v>138</v>
      </c>
      <c r="D94">
        <v>499</v>
      </c>
      <c r="H94" t="s">
        <v>16</v>
      </c>
      <c r="I94">
        <v>158</v>
      </c>
      <c r="J94" t="s">
        <v>17</v>
      </c>
    </row>
    <row r="95" spans="1:10" x14ac:dyDescent="0.3">
      <c r="A95" t="s">
        <v>236</v>
      </c>
      <c r="B95" t="s">
        <v>237</v>
      </c>
      <c r="C95" t="s">
        <v>238</v>
      </c>
      <c r="E95">
        <v>608</v>
      </c>
      <c r="G95">
        <v>608</v>
      </c>
      <c r="H95" t="s">
        <v>16</v>
      </c>
      <c r="I95">
        <v>156</v>
      </c>
      <c r="J95" t="s">
        <v>17</v>
      </c>
    </row>
    <row r="96" spans="1:10" x14ac:dyDescent="0.3">
      <c r="A96" t="s">
        <v>39</v>
      </c>
      <c r="B96" t="s">
        <v>37</v>
      </c>
      <c r="C96" t="s">
        <v>40</v>
      </c>
      <c r="D96">
        <v>629.9</v>
      </c>
      <c r="H96" t="s">
        <v>16</v>
      </c>
      <c r="I96">
        <v>153</v>
      </c>
      <c r="J96" t="s">
        <v>17</v>
      </c>
    </row>
    <row r="97" spans="1:10" x14ac:dyDescent="0.3">
      <c r="A97" t="s">
        <v>189</v>
      </c>
      <c r="B97" t="s">
        <v>182</v>
      </c>
      <c r="C97" t="s">
        <v>190</v>
      </c>
      <c r="D97">
        <v>449</v>
      </c>
      <c r="H97" t="s">
        <v>44</v>
      </c>
      <c r="I97">
        <v>151</v>
      </c>
      <c r="J97" t="s">
        <v>17</v>
      </c>
    </row>
    <row r="98" spans="1:10" x14ac:dyDescent="0.3">
      <c r="A98" t="s">
        <v>273</v>
      </c>
      <c r="B98" t="s">
        <v>271</v>
      </c>
      <c r="C98" t="s">
        <v>274</v>
      </c>
      <c r="E98">
        <v>494.1</v>
      </c>
      <c r="G98">
        <v>494.1</v>
      </c>
      <c r="H98" t="s">
        <v>88</v>
      </c>
      <c r="I98">
        <v>151</v>
      </c>
      <c r="J98" t="s">
        <v>17</v>
      </c>
    </row>
    <row r="99" spans="1:10" x14ac:dyDescent="0.3">
      <c r="A99" t="s">
        <v>214</v>
      </c>
      <c r="B99" t="s">
        <v>215</v>
      </c>
      <c r="C99" t="s">
        <v>216</v>
      </c>
      <c r="F99">
        <v>181.94</v>
      </c>
      <c r="H99" t="s">
        <v>16</v>
      </c>
      <c r="I99">
        <v>150</v>
      </c>
      <c r="J99" t="s">
        <v>17</v>
      </c>
    </row>
    <row r="100" spans="1:10" x14ac:dyDescent="0.3">
      <c r="A100" t="s">
        <v>248</v>
      </c>
      <c r="B100" t="s">
        <v>249</v>
      </c>
      <c r="C100" t="s">
        <v>250</v>
      </c>
      <c r="E100">
        <v>342.9</v>
      </c>
      <c r="G100">
        <v>342.9</v>
      </c>
      <c r="H100" t="s">
        <v>251</v>
      </c>
      <c r="I100">
        <v>149</v>
      </c>
      <c r="J100" t="s">
        <v>17</v>
      </c>
    </row>
    <row r="101" spans="1:10" x14ac:dyDescent="0.3">
      <c r="A101" t="s">
        <v>57</v>
      </c>
      <c r="B101" t="s">
        <v>58</v>
      </c>
      <c r="C101" t="s">
        <v>59</v>
      </c>
      <c r="D101">
        <v>314.89999999999998</v>
      </c>
      <c r="H101" t="s">
        <v>60</v>
      </c>
      <c r="I101">
        <v>148</v>
      </c>
      <c r="J101" t="s">
        <v>49</v>
      </c>
    </row>
    <row r="102" spans="1:10" x14ac:dyDescent="0.3">
      <c r="A102" t="s">
        <v>171</v>
      </c>
      <c r="B102" t="s">
        <v>169</v>
      </c>
      <c r="C102" t="s">
        <v>172</v>
      </c>
      <c r="D102">
        <v>148</v>
      </c>
      <c r="H102" t="s">
        <v>23</v>
      </c>
      <c r="I102">
        <v>148</v>
      </c>
      <c r="J102" t="s">
        <v>49</v>
      </c>
    </row>
    <row r="103" spans="1:10" x14ac:dyDescent="0.3">
      <c r="A103" t="s">
        <v>147</v>
      </c>
      <c r="B103" t="s">
        <v>145</v>
      </c>
      <c r="C103" t="s">
        <v>148</v>
      </c>
      <c r="D103">
        <v>274</v>
      </c>
      <c r="H103" t="s">
        <v>35</v>
      </c>
      <c r="I103">
        <v>147</v>
      </c>
      <c r="J103" t="s">
        <v>17</v>
      </c>
    </row>
    <row r="104" spans="1:10" x14ac:dyDescent="0.3">
      <c r="A104" t="s">
        <v>116</v>
      </c>
      <c r="B104" t="s">
        <v>117</v>
      </c>
      <c r="C104" t="s">
        <v>118</v>
      </c>
      <c r="D104">
        <v>513.4</v>
      </c>
      <c r="H104" t="s">
        <v>23</v>
      </c>
      <c r="I104">
        <v>145</v>
      </c>
      <c r="J104" t="s">
        <v>17</v>
      </c>
    </row>
    <row r="105" spans="1:10" x14ac:dyDescent="0.3">
      <c r="A105" t="s">
        <v>275</v>
      </c>
      <c r="B105" t="s">
        <v>276</v>
      </c>
      <c r="C105" t="s">
        <v>277</v>
      </c>
      <c r="E105">
        <v>949.05</v>
      </c>
      <c r="G105">
        <v>949.05</v>
      </c>
      <c r="H105" t="s">
        <v>23</v>
      </c>
      <c r="I105">
        <v>144</v>
      </c>
      <c r="J105" t="s">
        <v>17</v>
      </c>
    </row>
    <row r="106" spans="1:10" x14ac:dyDescent="0.3">
      <c r="A106" t="s">
        <v>178</v>
      </c>
      <c r="B106" t="s">
        <v>179</v>
      </c>
      <c r="C106" t="s">
        <v>180</v>
      </c>
      <c r="D106">
        <v>394.9</v>
      </c>
      <c r="H106" t="s">
        <v>23</v>
      </c>
      <c r="I106">
        <v>143</v>
      </c>
      <c r="J106" t="s">
        <v>17</v>
      </c>
    </row>
    <row r="107" spans="1:10" x14ac:dyDescent="0.3">
      <c r="A107" t="s">
        <v>104</v>
      </c>
      <c r="B107" t="s">
        <v>105</v>
      </c>
      <c r="C107" t="s">
        <v>106</v>
      </c>
      <c r="D107">
        <v>510.12</v>
      </c>
      <c r="H107" t="s">
        <v>26</v>
      </c>
      <c r="I107">
        <v>142</v>
      </c>
      <c r="J107" t="s">
        <v>84</v>
      </c>
    </row>
    <row r="108" spans="1:10" x14ac:dyDescent="0.3">
      <c r="A108" t="s">
        <v>102</v>
      </c>
      <c r="B108" t="s">
        <v>100</v>
      </c>
      <c r="C108" t="s">
        <v>103</v>
      </c>
      <c r="D108">
        <v>349</v>
      </c>
      <c r="H108" t="s">
        <v>23</v>
      </c>
      <c r="I108">
        <v>139</v>
      </c>
      <c r="J108" t="s">
        <v>17</v>
      </c>
    </row>
    <row r="109" spans="1:10" x14ac:dyDescent="0.3">
      <c r="A109" t="s">
        <v>212</v>
      </c>
      <c r="B109" t="s">
        <v>21</v>
      </c>
      <c r="C109" t="s">
        <v>213</v>
      </c>
      <c r="F109">
        <v>159.9</v>
      </c>
      <c r="H109" t="s">
        <v>23</v>
      </c>
      <c r="I109">
        <v>139</v>
      </c>
      <c r="J109" t="s">
        <v>17</v>
      </c>
    </row>
    <row r="110" spans="1:10" x14ac:dyDescent="0.3">
      <c r="A110" t="s">
        <v>281</v>
      </c>
      <c r="B110" t="s">
        <v>282</v>
      </c>
      <c r="C110" t="s">
        <v>283</v>
      </c>
      <c r="E110">
        <v>456.35</v>
      </c>
      <c r="G110">
        <v>456.35</v>
      </c>
      <c r="H110" t="s">
        <v>98</v>
      </c>
      <c r="I110">
        <v>139</v>
      </c>
      <c r="J110" t="s">
        <v>17</v>
      </c>
    </row>
    <row r="111" spans="1:10" x14ac:dyDescent="0.3">
      <c r="A111" t="s">
        <v>284</v>
      </c>
      <c r="B111" t="s">
        <v>123</v>
      </c>
      <c r="C111" t="s">
        <v>285</v>
      </c>
      <c r="E111">
        <v>350</v>
      </c>
      <c r="G111">
        <v>350</v>
      </c>
      <c r="H111" t="s">
        <v>88</v>
      </c>
      <c r="I111">
        <v>137</v>
      </c>
      <c r="J111" t="s">
        <v>32</v>
      </c>
    </row>
    <row r="112" spans="1:10" x14ac:dyDescent="0.3">
      <c r="A112" t="s">
        <v>85</v>
      </c>
      <c r="B112" t="s">
        <v>86</v>
      </c>
      <c r="C112" t="s">
        <v>87</v>
      </c>
      <c r="H112" t="s">
        <v>88</v>
      </c>
      <c r="I112">
        <v>136</v>
      </c>
      <c r="J112" t="s">
        <v>17</v>
      </c>
    </row>
    <row r="113" spans="1:10" x14ac:dyDescent="0.3">
      <c r="A113" t="s">
        <v>10</v>
      </c>
      <c r="B113" t="s">
        <v>11</v>
      </c>
      <c r="C113" t="s">
        <v>12</v>
      </c>
      <c r="H113" t="s">
        <v>7</v>
      </c>
      <c r="J113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0EF07D-21D2-4089-9DC5-9A46B2F9D5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trendyol_final__most_rated_Auto</vt:lpstr>
      <vt:lpstr>pivot</vt:lpstr>
      <vt:lpstr>dashboard</vt:lpstr>
      <vt:lpstr>matrix</vt:lpstr>
      <vt:lpstr>trendyol_final</vt:lpstr>
      <vt:lpstr>summary statis</vt:lpstr>
      <vt:lpstr>products_table</vt:lpstr>
      <vt:lpstr>brands_table</vt:lpstr>
      <vt:lpstr>trendyol_final__most rated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Batt</dc:creator>
  <cp:lastModifiedBy>engy ali</cp:lastModifiedBy>
  <dcterms:created xsi:type="dcterms:W3CDTF">2015-06-05T18:17:20Z</dcterms:created>
  <dcterms:modified xsi:type="dcterms:W3CDTF">2026-05-24T18:06:39Z</dcterms:modified>
</cp:coreProperties>
</file>